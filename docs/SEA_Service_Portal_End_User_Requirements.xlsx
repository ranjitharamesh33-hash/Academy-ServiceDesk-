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quirements" sheetId="2" state="visible" r:id="rId4"/>
    <sheet name="Catalogue Mapping" sheetId="3" state="visible" r:id="rId5"/>
    <sheet name="Statuses &amp; SLA" sheetId="4" state="visible" r:id="rId6"/>
    <sheet name="Roles &amp; Permissions" sheetId="5" state="visible" r:id="rId7"/>
    <sheet name="Ticket Data Model" sheetId="6" state="visible" r:id="rId8"/>
  </sheets>
  <definedNames>
    <definedName function="false" hidden="true" localSheetId="2" name="_xlnm._FilterDatabase" vbProcedure="false">'Catalogue Mapping'!$A$4:$J$25</definedName>
    <definedName function="false" hidden="true" localSheetId="1" name="_xlnm._FilterDatabase" vbProcedure="false">Requirements!$A$4:$L$47</definedName>
    <definedName function="false" hidden="true" localSheetId="4" name="_xlnm._FilterDatabase" vbProcedure="false">'Roles &amp; Permissions'!$A$4:$E$14</definedName>
    <definedName function="false" hidden="true" localSheetId="3" name="_xlnm._FilterDatabase" vbProcedure="false">'Statuses &amp; SLA'!$A$4:$E$7</definedName>
    <definedName function="false" hidden="true" localSheetId="5" name="_xlnm._FilterDatabase" vbProcedure="false">'Ticket Data Model'!$A$4:$D$24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<sst xmlns="http://schemas.openxmlformats.org/spreadsheetml/2006/main" count="859" uniqueCount="447">
  <si>
    <t xml:space="preserve">SEA Service Portal – Summary</t>
  </si>
  <si>
    <t xml:space="preserve">Counts update from the Requirements sheet.</t>
  </si>
  <si>
    <t xml:space="preserve">Service area</t>
  </si>
  <si>
    <t xml:space="preserve">Exists</t>
  </si>
  <si>
    <t xml:space="preserve">Partial</t>
  </si>
  <si>
    <t xml:space="preserve">Gap</t>
  </si>
  <si>
    <t xml:space="preserve">Total</t>
  </si>
  <si>
    <t xml:space="preserve">Must</t>
  </si>
  <si>
    <t xml:space="preserve">Done</t>
  </si>
  <si>
    <t xml:space="preserve">Common Portal</t>
  </si>
  <si>
    <t xml:space="preserve">IT Services</t>
  </si>
  <si>
    <t xml:space="preserve">Facilities</t>
  </si>
  <si>
    <t xml:space="preserve">Student Services</t>
  </si>
  <si>
    <t xml:space="preserve">Translation Service</t>
  </si>
  <si>
    <t xml:space="preserve">Academic Team</t>
  </si>
  <si>
    <t xml:space="preserve">Service Levels</t>
  </si>
  <si>
    <t xml:space="preserve">Key</t>
  </si>
  <si>
    <t xml:space="preserve">Already built in SEA IT Service Desk; reuse</t>
  </si>
  <si>
    <t xml:space="preserve">Built for agents; needs an end-user version</t>
  </si>
  <si>
    <t xml:space="preserve">New build</t>
  </si>
  <si>
    <t xml:space="preserve">SEA Service Portal – End-User Requirements mapped to SEA IT Service Desk</t>
  </si>
  <si>
    <t xml:space="preserve">Mapped to the SEA IT Service Desk artifact (Incidents, Requests, Changes, Assets, Admin console). 'In current system': Exists = already built and reused; Partial = built for agents, needs a portal/end-user version; Gap = new build. Priority, Status, Owner and Notes are editable (yellow). Priorities are proposals to confirm with each department.</t>
  </si>
  <si>
    <t xml:space="preserve">Req ID</t>
  </si>
  <si>
    <t xml:space="preserve">Maps to module</t>
  </si>
  <si>
    <t xml:space="preserve">Requirement</t>
  </si>
  <si>
    <t xml:space="preserve">In current system</t>
  </si>
  <si>
    <t xml:space="preserve">Current behaviour</t>
  </si>
  <si>
    <t xml:space="preserve">What to build</t>
  </si>
  <si>
    <t xml:space="preserve">Permission key</t>
  </si>
  <si>
    <t xml:space="preserve">Priority</t>
  </si>
  <si>
    <t xml:space="preserve">Status</t>
  </si>
  <si>
    <t xml:space="preserve">Owner</t>
  </si>
  <si>
    <t xml:space="preserve">Notes</t>
  </si>
  <si>
    <t xml:space="preserve">COM-01</t>
  </si>
  <si>
    <t xml:space="preserve">New: Portal (#portal)</t>
  </si>
  <si>
    <t xml:space="preserve">Separate end-user portal view inside the same page, opened by default for users without an agent role</t>
  </si>
  <si>
    <t xml:space="preserve">Users without a role see the 'Request access' gate only</t>
  </si>
  <si>
    <t xml:space="preserve">Add a Portal route and a 'Requester' role so every SEA user lands on the portal, not the agent workspace</t>
  </si>
  <si>
    <t xml:space="preserve">port.view</t>
  </si>
  <si>
    <t xml:space="preserve">Not started</t>
  </si>
  <si>
    <t xml:space="preserve">COM-02</t>
  </si>
  <si>
    <t xml:space="preserve">Admin console › Users &amp; access</t>
  </si>
  <si>
    <t xml:space="preserve">Sign in with academy identity; name, email and avatar picked up automatically</t>
  </si>
  <si>
    <t xml:space="preserve">Uses the signed-in Claude identity (user capability, profile scope)</t>
  </si>
  <si>
    <t xml:space="preserve">Auto-grant the Requester role to all SEA users instead of manual access approval</t>
  </si>
  <si>
    <t xml:space="preserve">adm.users</t>
  </si>
  <si>
    <t xml:space="preserve">COM-03</t>
  </si>
  <si>
    <t xml:space="preserve">Portal</t>
  </si>
  <si>
    <t xml:space="preserve">Arabic and English interface with right-to-left layout, switchable per user</t>
  </si>
  <si>
    <t xml:space="preserve">English only; dates formatted en-GB</t>
  </si>
  <si>
    <t xml:space="preserve">Add language toggle (remember per viewer), RTL stylesheet, bilingual labels for catalogue, statuses and notifications</t>
  </si>
  <si>
    <t xml:space="preserve">—</t>
  </si>
  <si>
    <t xml:space="preserve">COM-04</t>
  </si>
  <si>
    <t xml:space="preserve">Portal › Home</t>
  </si>
  <si>
    <t xml:space="preserve">Home page with search, five service-area tiles (IT, Facilities, Student Services, Translation, Academic), announcements and 'My open requests'</t>
  </si>
  <si>
    <t xml:space="preserve">Overview page is agent KPIs only</t>
  </si>
  <si>
    <t xml:space="preserve">Build portal home reusing panel, kpi and row components</t>
  </si>
  <si>
    <t xml:space="preserve">COM-05</t>
  </si>
  <si>
    <t xml:space="preserve">Portal › Search</t>
  </si>
  <si>
    <t xml:space="preserve">One search across catalogue items, help articles and the user's own tickets</t>
  </si>
  <si>
    <t xml:space="preserve">Search box filters ID, title, requester inside each agent list</t>
  </si>
  <si>
    <t xml:space="preserve">Extend search to catalogue and knowledge for end users</t>
  </si>
  <si>
    <t xml:space="preserve">COM-06</t>
  </si>
  <si>
    <t xml:space="preserve">Portal › Assistant</t>
  </si>
  <si>
    <t xml:space="preserve">Claude assistant that answers questions, suggests the right catalogue item and pre-fills the form</t>
  </si>
  <si>
    <t xml:space="preserve">None</t>
  </si>
  <si>
    <t xml:space="preserve">Use the page's 'ask Claude' runtime capability; user confirms before submit</t>
  </si>
  <si>
    <t xml:space="preserve">port.create</t>
  </si>
  <si>
    <t xml:space="preserve">COM-07</t>
  </si>
  <si>
    <t xml:space="preserve">Requests (REQ)</t>
  </si>
  <si>
    <t xml:space="preserve">Department-based service catalogue covering all five service areas</t>
  </si>
  <si>
    <t xml:space="preserve">CATALOG has 8 IT items only; DEPT list holds requester departments, not service areas</t>
  </si>
  <si>
    <t xml:space="preserve">Add a 'serviceArea' field and a catalogue per area (see Catalogue Mapping sheet)</t>
  </si>
  <si>
    <t xml:space="preserve">req.create</t>
  </si>
  <si>
    <t xml:space="preserve">COM-08</t>
  </si>
  <si>
    <t xml:space="preserve">New ticket form</t>
  </si>
  <si>
    <t xml:space="preserve">Dynamic request forms per catalogue item: conditional fields, mandatory checks, attachments</t>
  </si>
  <si>
    <t xml:space="preserve">One fixed form per ticket kind (title, item, approver, requester, department, details); no attachments</t>
  </si>
  <si>
    <t xml:space="preserve">Form definition per catalogue item stored in settings; add file upload (files capability)</t>
  </si>
  <si>
    <t xml:space="preserve">COM-09</t>
  </si>
  <si>
    <t xml:space="preserve">Requester filled automatically from the signed-in user; option to raise on behalf of someone else</t>
  </si>
  <si>
    <t xml:space="preserve">Requester is typed free text</t>
  </si>
  <si>
    <t xml:space="preserve">Default requester = ME; 'On behalf of' people picker reusing the Admin user picker</t>
  </si>
  <si>
    <t xml:space="preserve">Should</t>
  </si>
  <si>
    <t xml:space="preserve">COM-10</t>
  </si>
  <si>
    <t xml:space="preserve">Portal › My requests</t>
  </si>
  <si>
    <t xml:space="preserve">'My requests' list: ID, status pill, assigned team, SLA due date, last update</t>
  </si>
  <si>
    <t xml:space="preserve">Agents see all tickets; no requester filter</t>
  </si>
  <si>
    <t xml:space="preserve">List tickets where requesterId = ME, using existing table, pill() and sla()</t>
  </si>
  <si>
    <t xml:space="preserve">COM-11</t>
  </si>
  <si>
    <t xml:space="preserve">Ticket drawer</t>
  </si>
  <si>
    <t xml:space="preserve">Requester view of a ticket: timeline of public updates, add comment and attachment, cancel, reopen within 5 days</t>
  </si>
  <si>
    <t xml:space="preserve">Drawer shows activity log with internal work notes only</t>
  </si>
  <si>
    <t xml:space="preserve">Split activity into public replies vs internal work notes; requester actions Cancel / Reopen</t>
  </si>
  <si>
    <t xml:space="preserve">port.update</t>
  </si>
  <si>
    <t xml:space="preserve">COM-12</t>
  </si>
  <si>
    <t xml:space="preserve">Notifications</t>
  </si>
  <si>
    <t xml:space="preserve">Email, Teams and mobile notifications on submit, status change, approval needed, resolved</t>
  </si>
  <si>
    <t xml:space="preserve">Toast messages inside the page only</t>
  </si>
  <si>
    <t xml:space="preserve">Add notifications; respect user preferences</t>
  </si>
  <si>
    <t xml:space="preserve">COM-13</t>
  </si>
  <si>
    <t xml:space="preserve">Requests › Approval box</t>
  </si>
  <si>
    <t xml:space="preserve">Approvers approve or reject from the portal (and later from email/mobile)</t>
  </si>
  <si>
    <t xml:space="preserve">Agent clicks 'Record approval / rejection' on the approver's behalf (req.approve)</t>
  </si>
  <si>
    <t xml:space="preserve">Route approval to the named approver user; approver acts directly in the portal</t>
  </si>
  <si>
    <t xml:space="preserve">req.approve</t>
  </si>
  <si>
    <t xml:space="preserve">COM-14</t>
  </si>
  <si>
    <t xml:space="preserve">Satisfaction rating (1–5 + comment) when a ticket is Resolved / Completed</t>
  </si>
  <si>
    <t xml:space="preserve">Prompt requester on DONE statuses; store csat on ticket; show on Overview</t>
  </si>
  <si>
    <t xml:space="preserve">COM-15</t>
  </si>
  <si>
    <t xml:space="preserve">New: Knowledge</t>
  </si>
  <si>
    <t xml:space="preserve">Help articles and FAQs per service area, bilingual</t>
  </si>
  <si>
    <t xml:space="preserve">New Knowledge module with kb.view / kb.create permissions</t>
  </si>
  <si>
    <t xml:space="preserve">kb.view</t>
  </si>
  <si>
    <t xml:space="preserve">COM-16</t>
  </si>
  <si>
    <t xml:space="preserve">Layout</t>
  </si>
  <si>
    <t xml:space="preserve">Mobile-friendly portal</t>
  </si>
  <si>
    <t xml:space="preserve">Responsive layout at 900 px and 520 px breakpoints already in place</t>
  </si>
  <si>
    <t xml:space="preserve">Keep the same breakpoints for portal views</t>
  </si>
  <si>
    <t xml:space="preserve">COM-17</t>
  </si>
  <si>
    <t xml:space="preserve">Admin console › Branding</t>
  </si>
  <si>
    <t xml:space="preserve">Portal uses SEA name, short mark and brand colour</t>
  </si>
  <si>
    <t xml:space="preserve">Branding tab: institution name, short mark, colour presets, theme</t>
  </si>
  <si>
    <t xml:space="preserve">Apply the same BRAND settings to the portal</t>
  </si>
  <si>
    <t xml:space="preserve">adm.branding</t>
  </si>
  <si>
    <t xml:space="preserve">COM-18</t>
  </si>
  <si>
    <t xml:space="preserve">Admin console › Audit log</t>
  </si>
  <si>
    <t xml:space="preserve">All portal submissions, approvals and status changes logged</t>
  </si>
  <si>
    <t xml:space="preserve">audit/ entries written for admin actions</t>
  </si>
  <si>
    <t xml:space="preserve">Also write audit entries for portal actions</t>
  </si>
  <si>
    <t xml:space="preserve">adm.audit</t>
  </si>
  <si>
    <t xml:space="preserve">IT-01</t>
  </si>
  <si>
    <t xml:space="preserve">Incidents (INC)</t>
  </si>
  <si>
    <t xml:space="preserve">'Report a problem' in the portal creates an INC ticket</t>
  </si>
  <si>
    <t xml:space="preserve">Agents log INC with category, impact, urgency, CI</t>
  </si>
  <si>
    <t xml:space="preserve">Simplified portal form: what's wrong, category, location, how urgent; agent sets impact</t>
  </si>
  <si>
    <t xml:space="preserve">inc.create</t>
  </si>
  <si>
    <t xml:space="preserve">IT-02</t>
  </si>
  <si>
    <t xml:space="preserve">Incident categories shown to users</t>
  </si>
  <si>
    <t xml:space="preserve">INC_CAT: Network &amp; Wi-Fi, Hardware, Classroom AV, Email &amp; Accounts, Software, Printing, LMS</t>
  </si>
  <si>
    <t xml:space="preserve">Confirm against IT's already-defined categories and align the list</t>
  </si>
  <si>
    <t xml:space="preserve">IT-03</t>
  </si>
  <si>
    <t xml:space="preserve">'Request a service' in the portal creates a REQ ticket from the IT catalogue</t>
  </si>
  <si>
    <t xml:space="preserve">CATALOG: New laptop, Software installation, Account access, Classroom AV setup, Shared drive access, Printer toner / repair, Guest Wi-Fi for event, Phone extension</t>
  </si>
  <si>
    <t xml:space="preserve">Replace or extend with IT's defined service categories</t>
  </si>
  <si>
    <t xml:space="preserve">IT-04</t>
  </si>
  <si>
    <t xml:space="preserve">Priority from impact × urgency, with SLA shown to the user</t>
  </si>
  <si>
    <t xml:space="preserve">prioM(): P1 4h, P2 8h, P3 24h, P4 72h resolution</t>
  </si>
  <si>
    <t xml:space="preserve">Show expected resolution time on the user's ticket</t>
  </si>
  <si>
    <t xml:space="preserve">IT-05</t>
  </si>
  <si>
    <t xml:space="preserve">Assets</t>
  </si>
  <si>
    <t xml:space="preserve">Pick the affected device from the user's own assets</t>
  </si>
  <si>
    <t xml:space="preserve">Asset register with assignedTo as free text; CI picker on agent form</t>
  </si>
  <si>
    <t xml:space="preserve">Link assets to user IDs; show 'My devices' in the portal</t>
  </si>
  <si>
    <t xml:space="preserve">ast.view</t>
  </si>
  <si>
    <t xml:space="preserve">Could</t>
  </si>
  <si>
    <t xml:space="preserve">IT-06</t>
  </si>
  <si>
    <t xml:space="preserve">Changes (CHG)</t>
  </si>
  <si>
    <t xml:space="preserve">Service status banner for outages and planned maintenance</t>
  </si>
  <si>
    <t xml:space="preserve">Change schedule shown to agents on Overview</t>
  </si>
  <si>
    <t xml:space="preserve">Publish Scheduled / Implementing changes and open P1s as a portal status banner</t>
  </si>
  <si>
    <t xml:space="preserve">IT-07</t>
  </si>
  <si>
    <t xml:space="preserve">Self-service password reset, MFA reset and account unlock</t>
  </si>
  <si>
    <t xml:space="preserve">Needs identity-system integration; until then raise as 'Account access' REQ</t>
  </si>
  <si>
    <t xml:space="preserve">FAC-01</t>
  </si>
  <si>
    <t xml:space="preserve">Requests (REQ) + Incidents (INC)</t>
  </si>
  <si>
    <t xml:space="preserve">Facilities catalogue: maintenance fault, room/lab booking, access card, parking/transport, housekeeping and event setup</t>
  </si>
  <si>
    <t xml:space="preserve">Facilities is only a requester department and an asset owner</t>
  </si>
  <si>
    <t xml:space="preserve">Add serviceArea = Facilities with its own catalogue and assignment group</t>
  </si>
  <si>
    <t xml:space="preserve">FAC-02</t>
  </si>
  <si>
    <t xml:space="preserve">Maintenance form with building, room and photo</t>
  </si>
  <si>
    <t xml:space="preserve">LOC list exists: Main Building, Training Block A, Training Block B, Library, Admin Wing, Auditorium, Data Room</t>
  </si>
  <si>
    <t xml:space="preserve">Reuse LOC; add room number and photo upload</t>
  </si>
  <si>
    <t xml:space="preserve">FAC-03</t>
  </si>
  <si>
    <t xml:space="preserve">Urgent / safety flag that maps to P1 handling</t>
  </si>
  <si>
    <t xml:space="preserve">Impact × urgency matrix exists</t>
  </si>
  <si>
    <t xml:space="preserve">Safety flag sets High / High = P1 and alerts the Facilities team</t>
  </si>
  <si>
    <t xml:space="preserve">FAC-04</t>
  </si>
  <si>
    <t xml:space="preserve">New: Bookings</t>
  </si>
  <si>
    <t xml:space="preserve">Room, lab and event space booking with availability calendar</t>
  </si>
  <si>
    <t xml:space="preserve">Booking module; Auditorium and AV setup link to IT 'Classroom AV setup'</t>
  </si>
  <si>
    <t xml:space="preserve">STU-01</t>
  </si>
  <si>
    <t xml:space="preserve">Student Services catalogue: letters and certificates, transcripts, enrolment / registration / fee queries, ID card, complaints and enquiries</t>
  </si>
  <si>
    <t xml:space="preserve">Add serviceArea = Student Services, catalogue and team</t>
  </si>
  <si>
    <t xml:space="preserve">STU-02</t>
  </si>
  <si>
    <t xml:space="preserve">Roles</t>
  </si>
  <si>
    <t xml:space="preserve">Students / trainees can use the portal</t>
  </si>
  <si>
    <t xml:space="preserve">Roles are staff/agent roles only</t>
  </si>
  <si>
    <t xml:space="preserve">Requester role covers students; restrict them to their own tickets</t>
  </si>
  <si>
    <t xml:space="preserve">STU-03</t>
  </si>
  <si>
    <t xml:space="preserve">Download link when a letter or document is ready</t>
  </si>
  <si>
    <t xml:space="preserve">No attachments</t>
  </si>
  <si>
    <t xml:space="preserve">Agent attaches the document on Completed; requester downloads it</t>
  </si>
  <si>
    <t xml:space="preserve">TRN-01</t>
  </si>
  <si>
    <t xml:space="preserve">Translation request from the already-defined translation form</t>
  </si>
  <si>
    <t xml:space="preserve">Digitise the existing form field-for-field as one catalogue item</t>
  </si>
  <si>
    <t xml:space="preserve">TRN-02</t>
  </si>
  <si>
    <t xml:space="preserve">Upload source document; language pair, document type, deadline</t>
  </si>
  <si>
    <t xml:space="preserve">No attachments, no date field on REQ</t>
  </si>
  <si>
    <t xml:space="preserve">Add file upload and 'Required by' date</t>
  </si>
  <si>
    <t xml:space="preserve">TRN-03</t>
  </si>
  <si>
    <t xml:space="preserve">Approval step if the current process requires one</t>
  </si>
  <si>
    <t xml:space="preserve">Submitted → Awaiting Approval → Approved / Rejected flow</t>
  </si>
  <si>
    <t xml:space="preserve">Reuse as is; set approver per catalogue item</t>
  </si>
  <si>
    <t xml:space="preserve">TRN-04</t>
  </si>
  <si>
    <t xml:space="preserve">Download translated file; request a revision</t>
  </si>
  <si>
    <t xml:space="preserve">Attachment on Completed; 'Request revision' reopens to Fulfilling</t>
  </si>
  <si>
    <t xml:space="preserve">ACA-01</t>
  </si>
  <si>
    <t xml:space="preserve">Academic request from the already-defined academic form</t>
  </si>
  <si>
    <t xml:space="preserve">ACA-02</t>
  </si>
  <si>
    <t xml:space="preserve">Route to the correct academic unit / programme automatically</t>
  </si>
  <si>
    <t xml:space="preserve">DEPT list includes Teacher Training, Leadership Programmes, Research</t>
  </si>
  <si>
    <t xml:space="preserve">Assignment rule by programme field</t>
  </si>
  <si>
    <t xml:space="preserve">req.update</t>
  </si>
  <si>
    <t xml:space="preserve">ACA-03</t>
  </si>
  <si>
    <t xml:space="preserve">Multi-level approval (e.g. programme lead, then dean)</t>
  </si>
  <si>
    <t xml:space="preserve">Single approver per request</t>
  </si>
  <si>
    <t xml:space="preserve">Allow an ordered list of approvers</t>
  </si>
  <si>
    <t xml:space="preserve">ACA-04</t>
  </si>
  <si>
    <t xml:space="preserve">Attach supporting documents</t>
  </si>
  <si>
    <t xml:space="preserve">File upload (shared with other areas)</t>
  </si>
  <si>
    <t xml:space="preserve">SLA-01</t>
  </si>
  <si>
    <t xml:space="preserve">SLA engine</t>
  </si>
  <si>
    <t xml:space="preserve">Expected response and completion time shown on each catalogue item and ticket</t>
  </si>
  <si>
    <t xml:space="preserve">SLA_INC P1–P4 and SLA_REQ 72h; sla() returns Met / Breached / time left</t>
  </si>
  <si>
    <t xml:space="preserve">Make SLA configurable per service area and catalogue item; show due date to requester</t>
  </si>
  <si>
    <t xml:space="preserve">SLA-02</t>
  </si>
  <si>
    <t xml:space="preserve">Overview › Needs attention</t>
  </si>
  <si>
    <t xml:space="preserve">Reminder and escalation when a ticket is overdue</t>
  </si>
  <si>
    <t xml:space="preserve">Agents see breached / at-risk (under 25% left) list</t>
  </si>
  <si>
    <t xml:space="preserve">Send reminder at 75% and escalate to team lead on breach</t>
  </si>
  <si>
    <t xml:space="preserve">SLA-03</t>
  </si>
  <si>
    <t xml:space="preserve">Business hours and UAE public holidays in SLA calculation</t>
  </si>
  <si>
    <t xml:space="preserve">SLA counts 24/7 clock hours</t>
  </si>
  <si>
    <t xml:space="preserve">Add working calendar to sla()</t>
  </si>
  <si>
    <t xml:space="preserve">Service catalogue mapped to SEA IT Service Desk ticket kinds</t>
  </si>
  <si>
    <t xml:space="preserve">Each catalogue item becomes an INC (problem) or REQ (service) ticket with a new 'serviceArea' field, so the existing lists, SLA and approval flow are reused. IT items come from the system's current INC_CAT and CATALOG lists.</t>
  </si>
  <si>
    <t xml:space="preserve">Catalogue item</t>
  </si>
  <si>
    <t xml:space="preserve">Ticket kind</t>
  </si>
  <si>
    <t xml:space="preserve">ID prefix</t>
  </si>
  <si>
    <t xml:space="preserve">Approval needed</t>
  </si>
  <si>
    <t xml:space="preserve">Approver</t>
  </si>
  <si>
    <t xml:space="preserve">SLA target</t>
  </si>
  <si>
    <t xml:space="preserve">Portal form fields</t>
  </si>
  <si>
    <t xml:space="preserve">IT</t>
  </si>
  <si>
    <t xml:space="preserve">Report a problem (Network &amp; Wi-Fi, Hardware, Classroom AV, Email &amp; Accounts, Software, Printing, LMS)</t>
  </si>
  <si>
    <t xml:space="preserve">INC</t>
  </si>
  <si>
    <t xml:space="preserve">INC-</t>
  </si>
  <si>
    <t xml:space="preserve">Exists (INC_CAT)</t>
  </si>
  <si>
    <t xml:space="preserve">No</t>
  </si>
  <si>
    <t xml:space="preserve">Impact × urgency: P1 4h · P2 8h · P3 24h · P4 72h</t>
  </si>
  <si>
    <t xml:space="preserve">What's wrong, category, location, device (optional), how urgent, details</t>
  </si>
  <si>
    <t xml:space="preserve">Confirm against IT's defined categories</t>
  </si>
  <si>
    <t xml:space="preserve">New laptop</t>
  </si>
  <si>
    <t xml:space="preserve">REQ</t>
  </si>
  <si>
    <t xml:space="preserve">REQ-</t>
  </si>
  <si>
    <t xml:space="preserve">Exists (CATALOG)</t>
  </si>
  <si>
    <t xml:space="preserve">Yes</t>
  </si>
  <si>
    <t xml:space="preserve">Line manager</t>
  </si>
  <si>
    <t xml:space="preserve">72h</t>
  </si>
  <si>
    <t xml:space="preserve">Who for, start date, keyboard (Arabic/English), accessories</t>
  </si>
  <si>
    <t xml:space="preserve">Software installation</t>
  </si>
  <si>
    <t xml:space="preserve">Software name, licence source, device</t>
  </si>
  <si>
    <t xml:space="preserve">Account access</t>
  </si>
  <si>
    <t xml:space="preserve">System, access level, reason</t>
  </si>
  <si>
    <t xml:space="preserve">Classroom AV setup</t>
  </si>
  <si>
    <t xml:space="preserve">Room, date/time, equipment needed</t>
  </si>
  <si>
    <t xml:space="preserve">Shared drive access</t>
  </si>
  <si>
    <t xml:space="preserve">Folder owner</t>
  </si>
  <si>
    <t xml:space="preserve">Folder path, read or read/write</t>
  </si>
  <si>
    <t xml:space="preserve">Printer toner / repair</t>
  </si>
  <si>
    <t xml:space="preserve">Printer tag, location, issue</t>
  </si>
  <si>
    <t xml:space="preserve">Guest Wi-Fi for event</t>
  </si>
  <si>
    <t xml:space="preserve">Event name, dates, number of guests</t>
  </si>
  <si>
    <t xml:space="preserve">Phone extension</t>
  </si>
  <si>
    <t xml:space="preserve">User, location, extension type</t>
  </si>
  <si>
    <t xml:space="preserve">Maintenance fault</t>
  </si>
  <si>
    <t xml:space="preserve">New</t>
  </si>
  <si>
    <t xml:space="preserve">Same P1–P4 matrix; safety flag = P1</t>
  </si>
  <si>
    <t xml:space="preserve">Building (LOC), room, issue type, photo, safety flag</t>
  </si>
  <si>
    <t xml:space="preserve">Room / lab booking</t>
  </si>
  <si>
    <t xml:space="preserve">Optional</t>
  </si>
  <si>
    <t xml:space="preserve">Facilities coordinator</t>
  </si>
  <si>
    <t xml:space="preserve">To confirm</t>
  </si>
  <si>
    <t xml:space="preserve">Space, date, start/end time, attendees, setup</t>
  </si>
  <si>
    <t xml:space="preserve">Access card</t>
  </si>
  <si>
    <t xml:space="preserve">Card holder, areas needed, start date</t>
  </si>
  <si>
    <t xml:space="preserve">Parking / transport</t>
  </si>
  <si>
    <t xml:space="preserve">Type, dates, pickup/drop-off</t>
  </si>
  <si>
    <t xml:space="preserve">Housekeeping / event setup</t>
  </si>
  <si>
    <t xml:space="preserve">Location, date/time, requirements</t>
  </si>
  <si>
    <t xml:space="preserve">Letter / certificate</t>
  </si>
  <si>
    <t xml:space="preserve">Letter type, addressed to, language (AR/EN), delivery method</t>
  </si>
  <si>
    <t xml:space="preserve">Transcript / document</t>
  </si>
  <si>
    <t xml:space="preserve">Document type, copies, language</t>
  </si>
  <si>
    <t xml:space="preserve">Enrolment / registration / fee query</t>
  </si>
  <si>
    <t xml:space="preserve">Programme, query type, details</t>
  </si>
  <si>
    <t xml:space="preserve">ID card issue / replacement</t>
  </si>
  <si>
    <t xml:space="preserve">Reason, photo upload</t>
  </si>
  <si>
    <t xml:space="preserve">Complaint / general enquiry</t>
  </si>
  <si>
    <t xml:space="preserve">Topic, details, attachment</t>
  </si>
  <si>
    <t xml:space="preserve">Translation</t>
  </si>
  <si>
    <t xml:space="preserve">Translation request</t>
  </si>
  <si>
    <t xml:space="preserve">New (form already defined)</t>
  </si>
  <si>
    <t xml:space="preserve">Per current process</t>
  </si>
  <si>
    <t xml:space="preserve">Use the existing translation form fields as they are</t>
  </si>
  <si>
    <t xml:space="preserve">Share the form to map fields one-to-one</t>
  </si>
  <si>
    <t xml:space="preserve">Academic request</t>
  </si>
  <si>
    <t xml:space="preserve">Programme lead → Dean (if needed)</t>
  </si>
  <si>
    <t xml:space="preserve">Use the existing academic form fields as they are</t>
  </si>
  <si>
    <t xml:space="preserve">Ticket statuses and SLA from SEA IT Service Desk</t>
  </si>
  <si>
    <t xml:space="preserve">Statuses are the system's FLOW lists. The portal shows friendlier labels to end users (column C).</t>
  </si>
  <si>
    <t xml:space="preserve">Agent statuses (current)</t>
  </si>
  <si>
    <t xml:space="preserve">Portal label for end users</t>
  </si>
  <si>
    <t xml:space="preserve">Closed statuses</t>
  </si>
  <si>
    <t xml:space="preserve">Requester actions</t>
  </si>
  <si>
    <t xml:space="preserve">Incident (INC)</t>
  </si>
  <si>
    <t xml:space="preserve">New → In Progress → On Hold → Resolved → Closed</t>
  </si>
  <si>
    <t xml:space="preserve">Logged / Being worked on / Waiting / Fixed – please confirm / Closed</t>
  </si>
  <si>
    <t xml:space="preserve">Resolved, Closed</t>
  </si>
  <si>
    <t xml:space="preserve">Requester can reopen within 5 days of Resolved (new)</t>
  </si>
  <si>
    <t xml:space="preserve">Request (REQ)</t>
  </si>
  <si>
    <t xml:space="preserve">Submitted → Awaiting Approval → Approved → Fulfilling → Completed / Rejected</t>
  </si>
  <si>
    <t xml:space="preserve">Submitted / Waiting for approval / Approved / In progress / Done / Not approved</t>
  </si>
  <si>
    <t xml:space="preserve">Completed, Rejected</t>
  </si>
  <si>
    <t xml:space="preserve">Requester can cancel before Fulfilling (new)</t>
  </si>
  <si>
    <t xml:space="preserve">Change (CHG)</t>
  </si>
  <si>
    <t xml:space="preserve">Draft → Assessment → CAB Review → Scheduled → Implementing → Completed / Cancelled</t>
  </si>
  <si>
    <t xml:space="preserve">Shown only as planned maintenance on the status banner</t>
  </si>
  <si>
    <t xml:space="preserve">Completed, Cancelled</t>
  </si>
  <si>
    <t xml:space="preserve">Agents only</t>
  </si>
  <si>
    <t xml:space="preserve">SLA targets (current system)</t>
  </si>
  <si>
    <t xml:space="preserve">Priority / type</t>
  </si>
  <si>
    <t xml:space="preserve">Target</t>
  </si>
  <si>
    <t xml:space="preserve">Applies to</t>
  </si>
  <si>
    <t xml:space="preserve">P1 (High impact, High urgency)</t>
  </si>
  <si>
    <t xml:space="preserve">4 hours</t>
  </si>
  <si>
    <t xml:space="preserve">Incident resolution</t>
  </si>
  <si>
    <t xml:space="preserve">P2</t>
  </si>
  <si>
    <t xml:space="preserve">8 hours</t>
  </si>
  <si>
    <t xml:space="preserve">P3</t>
  </si>
  <si>
    <t xml:space="preserve">24 hours</t>
  </si>
  <si>
    <t xml:space="preserve">P4</t>
  </si>
  <si>
    <t xml:space="preserve">72 hours</t>
  </si>
  <si>
    <t xml:space="preserve">All requests</t>
  </si>
  <si>
    <t xml:space="preserve">Request fulfilment</t>
  </si>
  <si>
    <t xml:space="preserve">At-risk warning</t>
  </si>
  <si>
    <t xml:space="preserve">Under 25% of SLA left</t>
  </si>
  <si>
    <t xml:space="preserve">Shown amber on Overview</t>
  </si>
  <si>
    <t xml:space="preserve">Roles: existing in SEA IT Service Desk + new for the portal</t>
  </si>
  <si>
    <t xml:space="preserve">Existing roles come from DEFAULT_ROLES in the system. New roles and permission keys (port.*, kb.*, area scoping) are needed for end users and the four new departments.</t>
  </si>
  <si>
    <t xml:space="preserve">Role</t>
  </si>
  <si>
    <t xml:space="preserve">Existing / New</t>
  </si>
  <si>
    <t xml:space="preserve">Purpose</t>
  </si>
  <si>
    <t xml:space="preserve">Permissions</t>
  </si>
  <si>
    <t xml:space="preserve">Page sharing needed</t>
  </si>
  <si>
    <t xml:space="preserve">Administrator</t>
  </si>
  <si>
    <t xml:space="preserve">Existing</t>
  </si>
  <si>
    <t xml:space="preserve">Full control, including users, roles and branding</t>
  </si>
  <si>
    <t xml:space="preserve">All</t>
  </si>
  <si>
    <t xml:space="preserve">Editor</t>
  </si>
  <si>
    <t xml:space="preserve">Service Desk Manager</t>
  </si>
  <si>
    <t xml:space="preserve">Runs the desk across all modules; audit log</t>
  </si>
  <si>
    <t xml:space="preserve">All except adm.users, adm.roles, adm.branding</t>
  </si>
  <si>
    <t xml:space="preserve">Contributor</t>
  </si>
  <si>
    <t xml:space="preserve">Agent</t>
  </si>
  <si>
    <t xml:space="preserve">Handles incidents and requests</t>
  </si>
  <si>
    <t xml:space="preserve">*.view, inc.create/update/assign, req.create/update, chg.create, ast.update</t>
  </si>
  <si>
    <t xml:space="preserve">Change Approver (CAB)</t>
  </si>
  <si>
    <t xml:space="preserve">Reviews and approves changes</t>
  </si>
  <si>
    <t xml:space="preserve">*.view, chg.update, chg.approve</t>
  </si>
  <si>
    <t xml:space="preserve">Asset Manager</t>
  </si>
  <si>
    <t xml:space="preserve">Keeps the asset register accurate</t>
  </si>
  <si>
    <t xml:space="preserve">*.view, inc.create, ast.create, ast.update</t>
  </si>
  <si>
    <t xml:space="preserve">Read-only</t>
  </si>
  <si>
    <t xml:space="preserve">Sees everything, changes nothing</t>
  </si>
  <si>
    <t xml:space="preserve">*.view</t>
  </si>
  <si>
    <t xml:space="preserve">Viewer</t>
  </si>
  <si>
    <t xml:space="preserve">Requester (all staff, faculty, students)</t>
  </si>
  <si>
    <t xml:space="preserve">Uses the portal: raises and tracks own tickets</t>
  </si>
  <si>
    <t xml:space="preserve">port.view, port.create, port.update (own tickets only), kb.view</t>
  </si>
  <si>
    <t xml:space="preserve">Department Approver</t>
  </si>
  <si>
    <t xml:space="preserve">Approves requests routed to them in the portal</t>
  </si>
  <si>
    <t xml:space="preserve">port.*, req.approve (assigned to them)</t>
  </si>
  <si>
    <t xml:space="preserve">Department Agent (Facilities, Student Services, Translation, Academic)</t>
  </si>
  <si>
    <t xml:space="preserve">Works tickets for one service area only</t>
  </si>
  <si>
    <t xml:space="preserve">inc/req view, update, assign scoped to serviceArea</t>
  </si>
  <si>
    <t xml:space="preserve">Knowledge Editor</t>
  </si>
  <si>
    <t xml:space="preserve">Writes and publishes help articles</t>
  </si>
  <si>
    <t xml:space="preserve">kb.view, kb.create, kb.update</t>
  </si>
  <si>
    <t xml:space="preserve">Ticket fields: current schema + additions for the portal</t>
  </si>
  <si>
    <t xml:space="preserve">Current fields come from the tickets collection in the SEA IT Service Desk. New fields let the same ticket record serve all five service areas.</t>
  </si>
  <si>
    <t xml:space="preserve">Field</t>
  </si>
  <si>
    <t xml:space="preserve">Meaning</t>
  </si>
  <si>
    <t xml:space="preserve">Change for portal</t>
  </si>
  <si>
    <t xml:space="preserve">id</t>
  </si>
  <si>
    <t xml:space="preserve">INC-2041 / REQ-1188 / CHG-311</t>
  </si>
  <si>
    <t xml:space="preserve">Keep</t>
  </si>
  <si>
    <t xml:space="preserve">kind</t>
  </si>
  <si>
    <t xml:space="preserve">INC, REQ, CHG</t>
  </si>
  <si>
    <t xml:space="preserve">title, desc</t>
  </si>
  <si>
    <t xml:space="preserve">Short description and details</t>
  </si>
  <si>
    <t xml:space="preserve">status</t>
  </si>
  <si>
    <t xml:space="preserve">From FLOW per kind</t>
  </si>
  <si>
    <t xml:space="preserve">Keep; add portal labels</t>
  </si>
  <si>
    <t xml:space="preserve">priority, impact, urgency</t>
  </si>
  <si>
    <t xml:space="preserve">INC only, P1–P4</t>
  </si>
  <si>
    <t xml:space="preserve">category / item</t>
  </si>
  <si>
    <t xml:space="preserve">INC category or REQ catalogue item</t>
  </si>
  <si>
    <t xml:space="preserve">Keep; values per service area</t>
  </si>
  <si>
    <t xml:space="preserve">requester</t>
  </si>
  <si>
    <t xml:space="preserve">Free text name</t>
  </si>
  <si>
    <t xml:space="preserve">Change to requesterId (signed-in user) + name</t>
  </si>
  <si>
    <t xml:space="preserve">dept</t>
  </si>
  <si>
    <t xml:space="preserve">Requester's department</t>
  </si>
  <si>
    <t xml:space="preserve">assignee</t>
  </si>
  <si>
    <t xml:space="preserve">Agent user ID</t>
  </si>
  <si>
    <t xml:space="preserve">approver</t>
  </si>
  <si>
    <t xml:space="preserve">Free text</t>
  </si>
  <si>
    <t xml:space="preserve">Change to approver user ID(s), ordered list</t>
  </si>
  <si>
    <t xml:space="preserve">asset</t>
  </si>
  <si>
    <t xml:space="preserve">Configuration item tag</t>
  </si>
  <si>
    <t xml:space="preserve">activity[]</t>
  </si>
  <si>
    <t xml:space="preserve">{who, text, at}</t>
  </si>
  <si>
    <t xml:space="preserve">Add 'public' flag to split replies from work notes</t>
  </si>
  <si>
    <t xml:space="preserve">created, updated, closedAt</t>
  </si>
  <si>
    <t xml:space="preserve">Timestamps</t>
  </si>
  <si>
    <t xml:space="preserve">serviceArea</t>
  </si>
  <si>
    <t xml:space="preserve">IT, Facilities, Student Services, Translation, Academic</t>
  </si>
  <si>
    <t xml:space="preserve">Drives catalogue, team queue and SLA</t>
  </si>
  <si>
    <t xml:space="preserve">formData</t>
  </si>
  <si>
    <t xml:space="preserve">Answers to the catalogue item's form fields</t>
  </si>
  <si>
    <t xml:space="preserve">Stored as key/value</t>
  </si>
  <si>
    <t xml:space="preserve">attachments[]</t>
  </si>
  <si>
    <t xml:space="preserve">Uploaded files (source docs, photos, outputs)</t>
  </si>
  <si>
    <t xml:space="preserve">Needs files capability</t>
  </si>
  <si>
    <t xml:space="preserve">requiredBy</t>
  </si>
  <si>
    <t xml:space="preserve">Deadline the requester needs</t>
  </si>
  <si>
    <t xml:space="preserve">Translation, bookings</t>
  </si>
  <si>
    <t xml:space="preserve">onBehalfOf</t>
  </si>
  <si>
    <t xml:space="preserve">User the request is for</t>
  </si>
  <si>
    <t xml:space="preserve">csat</t>
  </si>
  <si>
    <t xml:space="preserve">{score 1–5, comment, at}</t>
  </si>
  <si>
    <t xml:space="preserve">Captured on Resolved / Completed</t>
  </si>
  <si>
    <t xml:space="preserve">lang</t>
  </si>
  <si>
    <t xml:space="preserve">ar / en</t>
  </si>
  <si>
    <t xml:space="preserve">Language for notifications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</si>
</sst>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COUNTIFS(Requirements!$B$5:$B$47,$A5,Requirements!$E$5:$E$47,"Exists")</f>
        <v>4</v>
      </c>
      <c r="C5" s="4" t="n">
        <f aca="false">COUNTIFS(Requirements!$B$5:$B$47,$A5,Requirements!$E$5:$E$47,"Partial")</f>
        <v>6</v>
      </c>
      <c r="D5" s="4" t="n">
        <f aca="false">COUNTIFS(Requirements!$B$5:$B$47,$A5,Requirements!$E$5:$E$47,"Gap")</f>
        <v>8</v>
      </c>
      <c r="E5" s="4" t="n">
        <f aca="false">SUM(B5:D5)</f>
        <v>18</v>
      </c>
      <c r="F5" s="4" t="n">
        <f aca="false">COUNTIFS(Requirements!$B$5:$B$47,$A5,Requirements!$I$5:$I$47,"Must")</f>
        <v>15</v>
      </c>
      <c r="G5" s="4" t="n">
        <f aca="false">COUNTIFS(Requirements!$B$5:$B$47,$A5,Requirements!$J$5:$J$47,"Done")</f>
        <v>0</v>
      </c>
    </row>
    <row r="6" customFormat="false" ht="15" hidden="false" customHeight="false" outlineLevel="0" collapsed="false">
      <c r="A6" s="4" t="s">
        <v>10</v>
      </c>
      <c r="B6" s="4" t="n">
        <f aca="false">COUNTIFS(Requirements!$B$5:$B$47,$A6,Requirements!$E$5:$E$47,"Exists")</f>
        <v>2</v>
      </c>
      <c r="C6" s="4" t="n">
        <f aca="false">COUNTIFS(Requirements!$B$5:$B$47,$A6,Requirements!$E$5:$E$47,"Partial")</f>
        <v>4</v>
      </c>
      <c r="D6" s="4" t="n">
        <f aca="false">COUNTIFS(Requirements!$B$5:$B$47,$A6,Requirements!$E$5:$E$47,"Gap")</f>
        <v>1</v>
      </c>
      <c r="E6" s="4" t="n">
        <f aca="false">SUM(B6:D6)</f>
        <v>7</v>
      </c>
      <c r="F6" s="4" t="n">
        <f aca="false">COUNTIFS(Requirements!$B$5:$B$47,$A6,Requirements!$I$5:$I$47,"Must")</f>
        <v>4</v>
      </c>
      <c r="G6" s="4" t="n">
        <f aca="false">COUNTIFS(Requirements!$B$5:$B$47,$A6,Requirements!$J$5:$J$47,"Done")</f>
        <v>0</v>
      </c>
    </row>
    <row r="7" customFormat="false" ht="15" hidden="false" customHeight="false" outlineLevel="0" collapsed="false">
      <c r="A7" s="4" t="s">
        <v>11</v>
      </c>
      <c r="B7" s="4" t="n">
        <f aca="false">COUNTIFS(Requirements!$B$5:$B$47,$A7,Requirements!$E$5:$E$47,"Exists")</f>
        <v>0</v>
      </c>
      <c r="C7" s="4" t="n">
        <f aca="false">COUNTIFS(Requirements!$B$5:$B$47,$A7,Requirements!$E$5:$E$47,"Partial")</f>
        <v>2</v>
      </c>
      <c r="D7" s="4" t="n">
        <f aca="false">COUNTIFS(Requirements!$B$5:$B$47,$A7,Requirements!$E$5:$E$47,"Gap")</f>
        <v>2</v>
      </c>
      <c r="E7" s="4" t="n">
        <f aca="false">SUM(B7:D7)</f>
        <v>4</v>
      </c>
      <c r="F7" s="4" t="n">
        <f aca="false">COUNTIFS(Requirements!$B$5:$B$47,$A7,Requirements!$I$5:$I$47,"Must")</f>
        <v>3</v>
      </c>
      <c r="G7" s="4" t="n">
        <f aca="false">COUNTIFS(Requirements!$B$5:$B$47,$A7,Requirements!$J$5:$J$47,"Done")</f>
        <v>0</v>
      </c>
    </row>
    <row r="8" customFormat="false" ht="15" hidden="false" customHeight="false" outlineLevel="0" collapsed="false">
      <c r="A8" s="4" t="s">
        <v>12</v>
      </c>
      <c r="B8" s="4" t="n">
        <f aca="false">COUNTIFS(Requirements!$B$5:$B$47,$A8,Requirements!$E$5:$E$47,"Exists")</f>
        <v>0</v>
      </c>
      <c r="C8" s="4" t="n">
        <f aca="false">COUNTIFS(Requirements!$B$5:$B$47,$A8,Requirements!$E$5:$E$47,"Partial")</f>
        <v>0</v>
      </c>
      <c r="D8" s="4" t="n">
        <f aca="false">COUNTIFS(Requirements!$B$5:$B$47,$A8,Requirements!$E$5:$E$47,"Gap")</f>
        <v>3</v>
      </c>
      <c r="E8" s="4" t="n">
        <f aca="false">SUM(B8:D8)</f>
        <v>3</v>
      </c>
      <c r="F8" s="4" t="n">
        <f aca="false">COUNTIFS(Requirements!$B$5:$B$47,$A8,Requirements!$I$5:$I$47,"Must")</f>
        <v>2</v>
      </c>
      <c r="G8" s="4" t="n">
        <f aca="false">COUNTIFS(Requirements!$B$5:$B$47,$A8,Requirements!$J$5:$J$47,"Done")</f>
        <v>0</v>
      </c>
    </row>
    <row r="9" customFormat="false" ht="15" hidden="false" customHeight="false" outlineLevel="0" collapsed="false">
      <c r="A9" s="4" t="s">
        <v>13</v>
      </c>
      <c r="B9" s="4" t="n">
        <f aca="false">COUNTIFS(Requirements!$B$5:$B$47,$A9,Requirements!$E$5:$E$47,"Exists")</f>
        <v>1</v>
      </c>
      <c r="C9" s="4" t="n">
        <f aca="false">COUNTIFS(Requirements!$B$5:$B$47,$A9,Requirements!$E$5:$E$47,"Partial")</f>
        <v>0</v>
      </c>
      <c r="D9" s="4" t="n">
        <f aca="false">COUNTIFS(Requirements!$B$5:$B$47,$A9,Requirements!$E$5:$E$47,"Gap")</f>
        <v>3</v>
      </c>
      <c r="E9" s="4" t="n">
        <f aca="false">SUM(B9:D9)</f>
        <v>4</v>
      </c>
      <c r="F9" s="4" t="n">
        <f aca="false">COUNTIFS(Requirements!$B$5:$B$47,$A9,Requirements!$I$5:$I$47,"Must")</f>
        <v>3</v>
      </c>
      <c r="G9" s="4" t="n">
        <f aca="false">COUNTIFS(Requirements!$B$5:$B$47,$A9,Requirements!$J$5:$J$47,"Done")</f>
        <v>0</v>
      </c>
    </row>
    <row r="10" customFormat="false" ht="15" hidden="false" customHeight="false" outlineLevel="0" collapsed="false">
      <c r="A10" s="4" t="s">
        <v>14</v>
      </c>
      <c r="B10" s="4" t="n">
        <f aca="false">COUNTIFS(Requirements!$B$5:$B$47,$A10,Requirements!$E$5:$E$47,"Exists")</f>
        <v>0</v>
      </c>
      <c r="C10" s="4" t="n">
        <f aca="false">COUNTIFS(Requirements!$B$5:$B$47,$A10,Requirements!$E$5:$E$47,"Partial")</f>
        <v>2</v>
      </c>
      <c r="D10" s="4" t="n">
        <f aca="false">COUNTIFS(Requirements!$B$5:$B$47,$A10,Requirements!$E$5:$E$47,"Gap")</f>
        <v>2</v>
      </c>
      <c r="E10" s="4" t="n">
        <f aca="false">SUM(B10:D10)</f>
        <v>4</v>
      </c>
      <c r="F10" s="4" t="n">
        <f aca="false">COUNTIFS(Requirements!$B$5:$B$47,$A10,Requirements!$I$5:$I$47,"Must")</f>
        <v>2</v>
      </c>
      <c r="G10" s="4" t="n">
        <f aca="false">COUNTIFS(Requirements!$B$5:$B$47,$A10,Requirements!$J$5:$J$47,"Done")</f>
        <v>0</v>
      </c>
    </row>
    <row r="11" customFormat="false" ht="15" hidden="false" customHeight="false" outlineLevel="0" collapsed="false">
      <c r="A11" s="4" t="s">
        <v>15</v>
      </c>
      <c r="B11" s="4" t="n">
        <f aca="false">COUNTIFS(Requirements!$B$5:$B$47,$A11,Requirements!$E$5:$E$47,"Exists")</f>
        <v>0</v>
      </c>
      <c r="C11" s="4" t="n">
        <f aca="false">COUNTIFS(Requirements!$B$5:$B$47,$A11,Requirements!$E$5:$E$47,"Partial")</f>
        <v>2</v>
      </c>
      <c r="D11" s="4" t="n">
        <f aca="false">COUNTIFS(Requirements!$B$5:$B$47,$A11,Requirements!$E$5:$E$47,"Gap")</f>
        <v>1</v>
      </c>
      <c r="E11" s="4" t="n">
        <f aca="false">SUM(B11:D11)</f>
        <v>3</v>
      </c>
      <c r="F11" s="4" t="n">
        <f aca="false">COUNTIFS(Requirements!$B$5:$B$47,$A11,Requirements!$I$5:$I$47,"Must")</f>
        <v>2</v>
      </c>
      <c r="G11" s="4" t="n">
        <f aca="false">COUNTIFS(Requirements!$B$5:$B$47,$A11,Requirements!$J$5:$J$47,"Done")</f>
        <v>0</v>
      </c>
    </row>
    <row r="12" customFormat="false" ht="15" hidden="false" customHeight="false" outlineLevel="0" collapsed="false">
      <c r="A12" s="5" t="s">
        <v>6</v>
      </c>
      <c r="B12" s="5" t="n">
        <f aca="false">SUM(B5:B11)</f>
        <v>7</v>
      </c>
      <c r="C12" s="5" t="n">
        <f aca="false">SUM(C5:C11)</f>
        <v>16</v>
      </c>
      <c r="D12" s="5" t="n">
        <f aca="false">SUM(D5:D11)</f>
        <v>20</v>
      </c>
      <c r="E12" s="5" t="n">
        <f aca="false">SUM(E5:E11)</f>
        <v>43</v>
      </c>
      <c r="F12" s="5" t="n">
        <f aca="false">SUM(F5:F11)</f>
        <v>31</v>
      </c>
      <c r="G12" s="5" t="n">
        <f aca="false">SUM(G5:G11)</f>
        <v>0</v>
      </c>
    </row>
    <row r="14" customFormat="false" ht="15" hidden="false" customHeight="false" outlineLevel="0" collapsed="false">
      <c r="A14" s="6" t="s">
        <v>16</v>
      </c>
    </row>
    <row r="15" customFormat="false" ht="15" hidden="false" customHeight="false" outlineLevel="0" collapsed="false">
      <c r="A15" s="7" t="s">
        <v>3</v>
      </c>
      <c r="B15" s="8" t="s">
        <v>17</v>
      </c>
    </row>
    <row r="16" customFormat="false" ht="15" hidden="false" customHeight="false" outlineLevel="0" collapsed="false">
      <c r="A16" s="9" t="s">
        <v>4</v>
      </c>
      <c r="B16" s="8" t="s">
        <v>18</v>
      </c>
    </row>
    <row r="17" customFormat="false" ht="15" hidden="false" customHeight="false" outlineLevel="0" collapsed="false">
      <c r="A17" s="10" t="s">
        <v>5</v>
      </c>
      <c r="B17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20</v>
      </c>
    </row>
    <row r="2" customFormat="false" ht="42" hidden="false" customHeight="true" outlineLevel="0" collapsed="false">
      <c r="A2" s="11" t="s">
        <v>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customFormat="false" ht="39.55" hidden="false" customHeight="false" outlineLevel="0" collapsed="false">
      <c r="A4" s="12" t="s">
        <v>22</v>
      </c>
      <c r="B4" s="12" t="s">
        <v>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3" t="s">
        <v>29</v>
      </c>
      <c r="J4" s="13" t="s">
        <v>30</v>
      </c>
      <c r="K4" s="13" t="s">
        <v>31</v>
      </c>
      <c r="L4" s="13" t="s">
        <v>32</v>
      </c>
    </row>
    <row r="5" customFormat="false" ht="35.05" hidden="false" customHeight="false" outlineLevel="0" collapsed="false">
      <c r="A5" s="14" t="s">
        <v>33</v>
      </c>
      <c r="B5" s="14" t="s">
        <v>9</v>
      </c>
      <c r="C5" s="14" t="s">
        <v>34</v>
      </c>
      <c r="D5" s="14" t="s">
        <v>35</v>
      </c>
      <c r="E5" s="15" t="s">
        <v>5</v>
      </c>
      <c r="F5" s="14" t="s">
        <v>36</v>
      </c>
      <c r="G5" s="14" t="s">
        <v>37</v>
      </c>
      <c r="H5" s="14" t="s">
        <v>38</v>
      </c>
      <c r="I5" s="14" t="s">
        <v>7</v>
      </c>
      <c r="J5" s="14" t="s">
        <v>39</v>
      </c>
      <c r="K5" s="14"/>
      <c r="L5" s="14"/>
    </row>
    <row r="6" customFormat="false" ht="23.85" hidden="false" customHeight="false" outlineLevel="0" collapsed="false">
      <c r="A6" s="14" t="s">
        <v>40</v>
      </c>
      <c r="B6" s="14" t="s">
        <v>9</v>
      </c>
      <c r="C6" s="14" t="s">
        <v>41</v>
      </c>
      <c r="D6" s="14" t="s">
        <v>42</v>
      </c>
      <c r="E6" s="16" t="s">
        <v>3</v>
      </c>
      <c r="F6" s="14" t="s">
        <v>43</v>
      </c>
      <c r="G6" s="14" t="s">
        <v>44</v>
      </c>
      <c r="H6" s="14" t="s">
        <v>45</v>
      </c>
      <c r="I6" s="14" t="s">
        <v>7</v>
      </c>
      <c r="J6" s="14" t="s">
        <v>39</v>
      </c>
      <c r="K6" s="14"/>
      <c r="L6" s="14"/>
    </row>
    <row r="7" customFormat="false" ht="35.05" hidden="false" customHeight="false" outlineLevel="0" collapsed="false">
      <c r="A7" s="14" t="s">
        <v>46</v>
      </c>
      <c r="B7" s="14" t="s">
        <v>9</v>
      </c>
      <c r="C7" s="14" t="s">
        <v>47</v>
      </c>
      <c r="D7" s="14" t="s">
        <v>48</v>
      </c>
      <c r="E7" s="15" t="s">
        <v>5</v>
      </c>
      <c r="F7" s="14" t="s">
        <v>49</v>
      </c>
      <c r="G7" s="14" t="s">
        <v>50</v>
      </c>
      <c r="H7" s="14" t="s">
        <v>51</v>
      </c>
      <c r="I7" s="14" t="s">
        <v>7</v>
      </c>
      <c r="J7" s="14" t="s">
        <v>39</v>
      </c>
      <c r="K7" s="14"/>
      <c r="L7" s="14"/>
    </row>
    <row r="8" customFormat="false" ht="35.05" hidden="false" customHeight="false" outlineLevel="0" collapsed="false">
      <c r="A8" s="14" t="s">
        <v>52</v>
      </c>
      <c r="B8" s="14" t="s">
        <v>9</v>
      </c>
      <c r="C8" s="14" t="s">
        <v>53</v>
      </c>
      <c r="D8" s="14" t="s">
        <v>54</v>
      </c>
      <c r="E8" s="15" t="s">
        <v>5</v>
      </c>
      <c r="F8" s="14" t="s">
        <v>55</v>
      </c>
      <c r="G8" s="14" t="s">
        <v>56</v>
      </c>
      <c r="H8" s="14" t="s">
        <v>38</v>
      </c>
      <c r="I8" s="14" t="s">
        <v>7</v>
      </c>
      <c r="J8" s="14" t="s">
        <v>39</v>
      </c>
      <c r="K8" s="14"/>
      <c r="L8" s="14"/>
    </row>
    <row r="9" customFormat="false" ht="23.85" hidden="false" customHeight="false" outlineLevel="0" collapsed="false">
      <c r="A9" s="14" t="s">
        <v>57</v>
      </c>
      <c r="B9" s="14" t="s">
        <v>9</v>
      </c>
      <c r="C9" s="14" t="s">
        <v>58</v>
      </c>
      <c r="D9" s="14" t="s">
        <v>59</v>
      </c>
      <c r="E9" s="17" t="s">
        <v>4</v>
      </c>
      <c r="F9" s="14" t="s">
        <v>60</v>
      </c>
      <c r="G9" s="14" t="s">
        <v>61</v>
      </c>
      <c r="H9" s="14" t="s">
        <v>38</v>
      </c>
      <c r="I9" s="14" t="s">
        <v>7</v>
      </c>
      <c r="J9" s="14" t="s">
        <v>39</v>
      </c>
      <c r="K9" s="14"/>
      <c r="L9" s="14"/>
    </row>
    <row r="10" customFormat="false" ht="23.85" hidden="false" customHeight="false" outlineLevel="0" collapsed="false">
      <c r="A10" s="14" t="s">
        <v>62</v>
      </c>
      <c r="B10" s="14" t="s">
        <v>9</v>
      </c>
      <c r="C10" s="14" t="s">
        <v>63</v>
      </c>
      <c r="D10" s="14" t="s">
        <v>64</v>
      </c>
      <c r="E10" s="15" t="s">
        <v>5</v>
      </c>
      <c r="F10" s="14" t="s">
        <v>65</v>
      </c>
      <c r="G10" s="14" t="s">
        <v>66</v>
      </c>
      <c r="H10" s="14" t="s">
        <v>67</v>
      </c>
      <c r="I10" s="14" t="s">
        <v>7</v>
      </c>
      <c r="J10" s="14" t="s">
        <v>39</v>
      </c>
      <c r="K10" s="14"/>
      <c r="L10" s="14"/>
    </row>
    <row r="11" customFormat="false" ht="35.05" hidden="false" customHeight="false" outlineLevel="0" collapsed="false">
      <c r="A11" s="14" t="s">
        <v>68</v>
      </c>
      <c r="B11" s="14" t="s">
        <v>9</v>
      </c>
      <c r="C11" s="14" t="s">
        <v>69</v>
      </c>
      <c r="D11" s="14" t="s">
        <v>70</v>
      </c>
      <c r="E11" s="17" t="s">
        <v>4</v>
      </c>
      <c r="F11" s="14" t="s">
        <v>71</v>
      </c>
      <c r="G11" s="14" t="s">
        <v>72</v>
      </c>
      <c r="H11" s="14" t="s">
        <v>73</v>
      </c>
      <c r="I11" s="14" t="s">
        <v>7</v>
      </c>
      <c r="J11" s="14" t="s">
        <v>39</v>
      </c>
      <c r="K11" s="14"/>
      <c r="L11" s="14"/>
    </row>
    <row r="12" customFormat="false" ht="35.05" hidden="false" customHeight="false" outlineLevel="0" collapsed="false">
      <c r="A12" s="14" t="s">
        <v>74</v>
      </c>
      <c r="B12" s="14" t="s">
        <v>9</v>
      </c>
      <c r="C12" s="14" t="s">
        <v>75</v>
      </c>
      <c r="D12" s="14" t="s">
        <v>76</v>
      </c>
      <c r="E12" s="17" t="s">
        <v>4</v>
      </c>
      <c r="F12" s="14" t="s">
        <v>77</v>
      </c>
      <c r="G12" s="14" t="s">
        <v>78</v>
      </c>
      <c r="H12" s="14" t="s">
        <v>73</v>
      </c>
      <c r="I12" s="14" t="s">
        <v>7</v>
      </c>
      <c r="J12" s="14" t="s">
        <v>39</v>
      </c>
      <c r="K12" s="14"/>
      <c r="L12" s="14"/>
    </row>
    <row r="13" customFormat="false" ht="23.85" hidden="false" customHeight="false" outlineLevel="0" collapsed="false">
      <c r="A13" s="14" t="s">
        <v>79</v>
      </c>
      <c r="B13" s="14" t="s">
        <v>9</v>
      </c>
      <c r="C13" s="14" t="s">
        <v>75</v>
      </c>
      <c r="D13" s="14" t="s">
        <v>80</v>
      </c>
      <c r="E13" s="17" t="s">
        <v>4</v>
      </c>
      <c r="F13" s="14" t="s">
        <v>81</v>
      </c>
      <c r="G13" s="14" t="s">
        <v>82</v>
      </c>
      <c r="H13" s="14" t="s">
        <v>73</v>
      </c>
      <c r="I13" s="14" t="s">
        <v>83</v>
      </c>
      <c r="J13" s="14" t="s">
        <v>39</v>
      </c>
      <c r="K13" s="14"/>
      <c r="L13" s="14"/>
    </row>
    <row r="14" customFormat="false" ht="23.85" hidden="false" customHeight="false" outlineLevel="0" collapsed="false">
      <c r="A14" s="14" t="s">
        <v>84</v>
      </c>
      <c r="B14" s="14" t="s">
        <v>9</v>
      </c>
      <c r="C14" s="14" t="s">
        <v>85</v>
      </c>
      <c r="D14" s="14" t="s">
        <v>86</v>
      </c>
      <c r="E14" s="15" t="s">
        <v>5</v>
      </c>
      <c r="F14" s="14" t="s">
        <v>87</v>
      </c>
      <c r="G14" s="14" t="s">
        <v>88</v>
      </c>
      <c r="H14" s="14" t="s">
        <v>38</v>
      </c>
      <c r="I14" s="14" t="s">
        <v>7</v>
      </c>
      <c r="J14" s="14" t="s">
        <v>39</v>
      </c>
      <c r="K14" s="14"/>
      <c r="L14" s="14"/>
    </row>
    <row r="15" customFormat="false" ht="35.05" hidden="false" customHeight="false" outlineLevel="0" collapsed="false">
      <c r="A15" s="14" t="s">
        <v>89</v>
      </c>
      <c r="B15" s="14" t="s">
        <v>9</v>
      </c>
      <c r="C15" s="14" t="s">
        <v>90</v>
      </c>
      <c r="D15" s="14" t="s">
        <v>91</v>
      </c>
      <c r="E15" s="17" t="s">
        <v>4</v>
      </c>
      <c r="F15" s="14" t="s">
        <v>92</v>
      </c>
      <c r="G15" s="14" t="s">
        <v>93</v>
      </c>
      <c r="H15" s="14" t="s">
        <v>94</v>
      </c>
      <c r="I15" s="14" t="s">
        <v>7</v>
      </c>
      <c r="J15" s="14" t="s">
        <v>39</v>
      </c>
      <c r="K15" s="14"/>
      <c r="L15" s="14"/>
    </row>
    <row r="16" customFormat="false" ht="23.85" hidden="false" customHeight="false" outlineLevel="0" collapsed="false">
      <c r="A16" s="14" t="s">
        <v>95</v>
      </c>
      <c r="B16" s="14" t="s">
        <v>9</v>
      </c>
      <c r="C16" s="14" t="s">
        <v>96</v>
      </c>
      <c r="D16" s="14" t="s">
        <v>97</v>
      </c>
      <c r="E16" s="15" t="s">
        <v>5</v>
      </c>
      <c r="F16" s="14" t="s">
        <v>98</v>
      </c>
      <c r="G16" s="14" t="s">
        <v>99</v>
      </c>
      <c r="H16" s="14" t="s">
        <v>51</v>
      </c>
      <c r="I16" s="14" t="s">
        <v>7</v>
      </c>
      <c r="J16" s="14" t="s">
        <v>39</v>
      </c>
      <c r="K16" s="14"/>
      <c r="L16" s="14"/>
    </row>
    <row r="17" customFormat="false" ht="23.85" hidden="false" customHeight="false" outlineLevel="0" collapsed="false">
      <c r="A17" s="14" t="s">
        <v>100</v>
      </c>
      <c r="B17" s="14" t="s">
        <v>9</v>
      </c>
      <c r="C17" s="14" t="s">
        <v>101</v>
      </c>
      <c r="D17" s="14" t="s">
        <v>102</v>
      </c>
      <c r="E17" s="17" t="s">
        <v>4</v>
      </c>
      <c r="F17" s="14" t="s">
        <v>103</v>
      </c>
      <c r="G17" s="14" t="s">
        <v>104</v>
      </c>
      <c r="H17" s="14" t="s">
        <v>105</v>
      </c>
      <c r="I17" s="14" t="s">
        <v>7</v>
      </c>
      <c r="J17" s="14" t="s">
        <v>39</v>
      </c>
      <c r="K17" s="14"/>
      <c r="L17" s="14"/>
    </row>
    <row r="18" customFormat="false" ht="23.85" hidden="false" customHeight="false" outlineLevel="0" collapsed="false">
      <c r="A18" s="14" t="s">
        <v>106</v>
      </c>
      <c r="B18" s="14" t="s">
        <v>9</v>
      </c>
      <c r="C18" s="14" t="s">
        <v>90</v>
      </c>
      <c r="D18" s="14" t="s">
        <v>107</v>
      </c>
      <c r="E18" s="15" t="s">
        <v>5</v>
      </c>
      <c r="F18" s="14" t="s">
        <v>65</v>
      </c>
      <c r="G18" s="14" t="s">
        <v>108</v>
      </c>
      <c r="H18" s="14" t="s">
        <v>94</v>
      </c>
      <c r="I18" s="14" t="s">
        <v>7</v>
      </c>
      <c r="J18" s="14" t="s">
        <v>39</v>
      </c>
      <c r="K18" s="14"/>
      <c r="L18" s="14"/>
    </row>
    <row r="19" customFormat="false" ht="23.85" hidden="false" customHeight="false" outlineLevel="0" collapsed="false">
      <c r="A19" s="14" t="s">
        <v>109</v>
      </c>
      <c r="B19" s="14" t="s">
        <v>9</v>
      </c>
      <c r="C19" s="14" t="s">
        <v>110</v>
      </c>
      <c r="D19" s="14" t="s">
        <v>111</v>
      </c>
      <c r="E19" s="15" t="s">
        <v>5</v>
      </c>
      <c r="F19" s="14" t="s">
        <v>65</v>
      </c>
      <c r="G19" s="14" t="s">
        <v>112</v>
      </c>
      <c r="H19" s="14" t="s">
        <v>113</v>
      </c>
      <c r="I19" s="14" t="s">
        <v>83</v>
      </c>
      <c r="J19" s="14" t="s">
        <v>39</v>
      </c>
      <c r="K19" s="14"/>
      <c r="L19" s="14"/>
    </row>
    <row r="20" customFormat="false" ht="23.85" hidden="false" customHeight="false" outlineLevel="0" collapsed="false">
      <c r="A20" s="14" t="s">
        <v>114</v>
      </c>
      <c r="B20" s="14" t="s">
        <v>9</v>
      </c>
      <c r="C20" s="14" t="s">
        <v>115</v>
      </c>
      <c r="D20" s="14" t="s">
        <v>116</v>
      </c>
      <c r="E20" s="16" t="s">
        <v>3</v>
      </c>
      <c r="F20" s="14" t="s">
        <v>117</v>
      </c>
      <c r="G20" s="14" t="s">
        <v>118</v>
      </c>
      <c r="H20" s="14" t="s">
        <v>51</v>
      </c>
      <c r="I20" s="14" t="s">
        <v>7</v>
      </c>
      <c r="J20" s="14" t="s">
        <v>39</v>
      </c>
      <c r="K20" s="14"/>
      <c r="L20" s="14"/>
    </row>
    <row r="21" customFormat="false" ht="23.85" hidden="false" customHeight="false" outlineLevel="0" collapsed="false">
      <c r="A21" s="14" t="s">
        <v>119</v>
      </c>
      <c r="B21" s="14" t="s">
        <v>9</v>
      </c>
      <c r="C21" s="14" t="s">
        <v>120</v>
      </c>
      <c r="D21" s="14" t="s">
        <v>121</v>
      </c>
      <c r="E21" s="16" t="s">
        <v>3</v>
      </c>
      <c r="F21" s="14" t="s">
        <v>122</v>
      </c>
      <c r="G21" s="14" t="s">
        <v>123</v>
      </c>
      <c r="H21" s="14" t="s">
        <v>124</v>
      </c>
      <c r="I21" s="14" t="s">
        <v>7</v>
      </c>
      <c r="J21" s="14" t="s">
        <v>39</v>
      </c>
      <c r="K21" s="14"/>
      <c r="L21" s="14"/>
    </row>
    <row r="22" customFormat="false" ht="23.85" hidden="false" customHeight="false" outlineLevel="0" collapsed="false">
      <c r="A22" s="14" t="s">
        <v>125</v>
      </c>
      <c r="B22" s="14" t="s">
        <v>9</v>
      </c>
      <c r="C22" s="14" t="s">
        <v>126</v>
      </c>
      <c r="D22" s="14" t="s">
        <v>127</v>
      </c>
      <c r="E22" s="16" t="s">
        <v>3</v>
      </c>
      <c r="F22" s="14" t="s">
        <v>128</v>
      </c>
      <c r="G22" s="14" t="s">
        <v>129</v>
      </c>
      <c r="H22" s="14" t="s">
        <v>130</v>
      </c>
      <c r="I22" s="14" t="s">
        <v>83</v>
      </c>
      <c r="J22" s="14" t="s">
        <v>39</v>
      </c>
      <c r="K22" s="14"/>
      <c r="L22" s="14"/>
    </row>
    <row r="23" customFormat="false" ht="23.85" hidden="false" customHeight="false" outlineLevel="0" collapsed="false">
      <c r="A23" s="14" t="s">
        <v>131</v>
      </c>
      <c r="B23" s="14" t="s">
        <v>10</v>
      </c>
      <c r="C23" s="14" t="s">
        <v>132</v>
      </c>
      <c r="D23" s="14" t="s">
        <v>133</v>
      </c>
      <c r="E23" s="17" t="s">
        <v>4</v>
      </c>
      <c r="F23" s="14" t="s">
        <v>134</v>
      </c>
      <c r="G23" s="14" t="s">
        <v>135</v>
      </c>
      <c r="H23" s="14" t="s">
        <v>136</v>
      </c>
      <c r="I23" s="14" t="s">
        <v>7</v>
      </c>
      <c r="J23" s="14" t="s">
        <v>39</v>
      </c>
      <c r="K23" s="14"/>
      <c r="L23" s="14"/>
    </row>
    <row r="24" customFormat="false" ht="35.05" hidden="false" customHeight="false" outlineLevel="0" collapsed="false">
      <c r="A24" s="14" t="s">
        <v>137</v>
      </c>
      <c r="B24" s="14" t="s">
        <v>10</v>
      </c>
      <c r="C24" s="14" t="s">
        <v>132</v>
      </c>
      <c r="D24" s="14" t="s">
        <v>138</v>
      </c>
      <c r="E24" s="16" t="s">
        <v>3</v>
      </c>
      <c r="F24" s="14" t="s">
        <v>139</v>
      </c>
      <c r="G24" s="14" t="s">
        <v>140</v>
      </c>
      <c r="H24" s="14" t="s">
        <v>51</v>
      </c>
      <c r="I24" s="14" t="s">
        <v>7</v>
      </c>
      <c r="J24" s="14" t="s">
        <v>39</v>
      </c>
      <c r="K24" s="14"/>
      <c r="L24" s="14"/>
    </row>
    <row r="25" customFormat="false" ht="46.25" hidden="false" customHeight="false" outlineLevel="0" collapsed="false">
      <c r="A25" s="14" t="s">
        <v>141</v>
      </c>
      <c r="B25" s="14" t="s">
        <v>10</v>
      </c>
      <c r="C25" s="14" t="s">
        <v>69</v>
      </c>
      <c r="D25" s="14" t="s">
        <v>142</v>
      </c>
      <c r="E25" s="17" t="s">
        <v>4</v>
      </c>
      <c r="F25" s="14" t="s">
        <v>143</v>
      </c>
      <c r="G25" s="14" t="s">
        <v>144</v>
      </c>
      <c r="H25" s="14" t="s">
        <v>73</v>
      </c>
      <c r="I25" s="14" t="s">
        <v>7</v>
      </c>
      <c r="J25" s="14" t="s">
        <v>39</v>
      </c>
      <c r="K25" s="14"/>
      <c r="L25" s="14"/>
    </row>
    <row r="26" customFormat="false" ht="23.85" hidden="false" customHeight="false" outlineLevel="0" collapsed="false">
      <c r="A26" s="14" t="s">
        <v>145</v>
      </c>
      <c r="B26" s="14" t="s">
        <v>10</v>
      </c>
      <c r="C26" s="14" t="s">
        <v>132</v>
      </c>
      <c r="D26" s="14" t="s">
        <v>146</v>
      </c>
      <c r="E26" s="16" t="s">
        <v>3</v>
      </c>
      <c r="F26" s="14" t="s">
        <v>147</v>
      </c>
      <c r="G26" s="14" t="s">
        <v>148</v>
      </c>
      <c r="H26" s="14" t="s">
        <v>51</v>
      </c>
      <c r="I26" s="14" t="s">
        <v>7</v>
      </c>
      <c r="J26" s="14" t="s">
        <v>39</v>
      </c>
      <c r="K26" s="14"/>
      <c r="L26" s="14"/>
    </row>
    <row r="27" customFormat="false" ht="23.85" hidden="false" customHeight="false" outlineLevel="0" collapsed="false">
      <c r="A27" s="14" t="s">
        <v>149</v>
      </c>
      <c r="B27" s="14" t="s">
        <v>10</v>
      </c>
      <c r="C27" s="14" t="s">
        <v>150</v>
      </c>
      <c r="D27" s="14" t="s">
        <v>151</v>
      </c>
      <c r="E27" s="17" t="s">
        <v>4</v>
      </c>
      <c r="F27" s="14" t="s">
        <v>152</v>
      </c>
      <c r="G27" s="14" t="s">
        <v>153</v>
      </c>
      <c r="H27" s="14" t="s">
        <v>154</v>
      </c>
      <c r="I27" s="14" t="s">
        <v>155</v>
      </c>
      <c r="J27" s="14" t="s">
        <v>39</v>
      </c>
      <c r="K27" s="14"/>
      <c r="L27" s="14"/>
    </row>
    <row r="28" customFormat="false" ht="23.85" hidden="false" customHeight="false" outlineLevel="0" collapsed="false">
      <c r="A28" s="14" t="s">
        <v>156</v>
      </c>
      <c r="B28" s="14" t="s">
        <v>10</v>
      </c>
      <c r="C28" s="14" t="s">
        <v>157</v>
      </c>
      <c r="D28" s="14" t="s">
        <v>158</v>
      </c>
      <c r="E28" s="17" t="s">
        <v>4</v>
      </c>
      <c r="F28" s="14" t="s">
        <v>159</v>
      </c>
      <c r="G28" s="14" t="s">
        <v>160</v>
      </c>
      <c r="H28" s="14" t="s">
        <v>38</v>
      </c>
      <c r="I28" s="14" t="s">
        <v>83</v>
      </c>
      <c r="J28" s="14" t="s">
        <v>39</v>
      </c>
      <c r="K28" s="14"/>
      <c r="L28" s="14"/>
    </row>
    <row r="29" customFormat="false" ht="23.85" hidden="false" customHeight="false" outlineLevel="0" collapsed="false">
      <c r="A29" s="14" t="s">
        <v>161</v>
      </c>
      <c r="B29" s="14" t="s">
        <v>10</v>
      </c>
      <c r="C29" s="14" t="s">
        <v>47</v>
      </c>
      <c r="D29" s="14" t="s">
        <v>162</v>
      </c>
      <c r="E29" s="15" t="s">
        <v>5</v>
      </c>
      <c r="F29" s="14" t="s">
        <v>65</v>
      </c>
      <c r="G29" s="14" t="s">
        <v>163</v>
      </c>
      <c r="H29" s="14" t="s">
        <v>51</v>
      </c>
      <c r="I29" s="14" t="s">
        <v>83</v>
      </c>
      <c r="J29" s="14" t="s">
        <v>39</v>
      </c>
      <c r="K29" s="14"/>
      <c r="L29" s="14"/>
    </row>
    <row r="30" customFormat="false" ht="35.05" hidden="false" customHeight="false" outlineLevel="0" collapsed="false">
      <c r="A30" s="14" t="s">
        <v>164</v>
      </c>
      <c r="B30" s="14" t="s">
        <v>11</v>
      </c>
      <c r="C30" s="14" t="s">
        <v>165</v>
      </c>
      <c r="D30" s="14" t="s">
        <v>166</v>
      </c>
      <c r="E30" s="15" t="s">
        <v>5</v>
      </c>
      <c r="F30" s="14" t="s">
        <v>167</v>
      </c>
      <c r="G30" s="14" t="s">
        <v>168</v>
      </c>
      <c r="H30" s="14" t="s">
        <v>73</v>
      </c>
      <c r="I30" s="14" t="s">
        <v>7</v>
      </c>
      <c r="J30" s="14" t="s">
        <v>39</v>
      </c>
      <c r="K30" s="14"/>
      <c r="L30" s="14"/>
    </row>
    <row r="31" customFormat="false" ht="35.05" hidden="false" customHeight="false" outlineLevel="0" collapsed="false">
      <c r="A31" s="14" t="s">
        <v>169</v>
      </c>
      <c r="B31" s="14" t="s">
        <v>11</v>
      </c>
      <c r="C31" s="14" t="s">
        <v>75</v>
      </c>
      <c r="D31" s="14" t="s">
        <v>170</v>
      </c>
      <c r="E31" s="17" t="s">
        <v>4</v>
      </c>
      <c r="F31" s="14" t="s">
        <v>171</v>
      </c>
      <c r="G31" s="14" t="s">
        <v>172</v>
      </c>
      <c r="H31" s="14" t="s">
        <v>73</v>
      </c>
      <c r="I31" s="14" t="s">
        <v>7</v>
      </c>
      <c r="J31" s="14" t="s">
        <v>39</v>
      </c>
      <c r="K31" s="14"/>
      <c r="L31" s="14"/>
    </row>
    <row r="32" customFormat="false" ht="23.85" hidden="false" customHeight="false" outlineLevel="0" collapsed="false">
      <c r="A32" s="14" t="s">
        <v>173</v>
      </c>
      <c r="B32" s="14" t="s">
        <v>11</v>
      </c>
      <c r="C32" s="14" t="s">
        <v>132</v>
      </c>
      <c r="D32" s="14" t="s">
        <v>174</v>
      </c>
      <c r="E32" s="17" t="s">
        <v>4</v>
      </c>
      <c r="F32" s="14" t="s">
        <v>175</v>
      </c>
      <c r="G32" s="14" t="s">
        <v>176</v>
      </c>
      <c r="H32" s="14" t="s">
        <v>136</v>
      </c>
      <c r="I32" s="14" t="s">
        <v>7</v>
      </c>
      <c r="J32" s="14" t="s">
        <v>39</v>
      </c>
      <c r="K32" s="14"/>
      <c r="L32" s="14"/>
    </row>
    <row r="33" customFormat="false" ht="23.85" hidden="false" customHeight="false" outlineLevel="0" collapsed="false">
      <c r="A33" s="14" t="s">
        <v>177</v>
      </c>
      <c r="B33" s="14" t="s">
        <v>11</v>
      </c>
      <c r="C33" s="14" t="s">
        <v>178</v>
      </c>
      <c r="D33" s="14" t="s">
        <v>179</v>
      </c>
      <c r="E33" s="15" t="s">
        <v>5</v>
      </c>
      <c r="F33" s="14" t="s">
        <v>65</v>
      </c>
      <c r="G33" s="14" t="s">
        <v>180</v>
      </c>
      <c r="H33" s="14" t="s">
        <v>51</v>
      </c>
      <c r="I33" s="14" t="s">
        <v>83</v>
      </c>
      <c r="J33" s="14" t="s">
        <v>39</v>
      </c>
      <c r="K33" s="14"/>
      <c r="L33" s="14"/>
    </row>
    <row r="34" customFormat="false" ht="35.05" hidden="false" customHeight="false" outlineLevel="0" collapsed="false">
      <c r="A34" s="14" t="s">
        <v>181</v>
      </c>
      <c r="B34" s="14" t="s">
        <v>12</v>
      </c>
      <c r="C34" s="14" t="s">
        <v>69</v>
      </c>
      <c r="D34" s="14" t="s">
        <v>182</v>
      </c>
      <c r="E34" s="15" t="s">
        <v>5</v>
      </c>
      <c r="F34" s="14" t="s">
        <v>65</v>
      </c>
      <c r="G34" s="14" t="s">
        <v>183</v>
      </c>
      <c r="H34" s="14" t="s">
        <v>73</v>
      </c>
      <c r="I34" s="14" t="s">
        <v>7</v>
      </c>
      <c r="J34" s="14" t="s">
        <v>39</v>
      </c>
      <c r="K34" s="14"/>
      <c r="L34" s="14"/>
    </row>
    <row r="35" customFormat="false" ht="23.85" hidden="false" customHeight="false" outlineLevel="0" collapsed="false">
      <c r="A35" s="14" t="s">
        <v>184</v>
      </c>
      <c r="B35" s="14" t="s">
        <v>12</v>
      </c>
      <c r="C35" s="14" t="s">
        <v>185</v>
      </c>
      <c r="D35" s="14" t="s">
        <v>186</v>
      </c>
      <c r="E35" s="15" t="s">
        <v>5</v>
      </c>
      <c r="F35" s="14" t="s">
        <v>187</v>
      </c>
      <c r="G35" s="14" t="s">
        <v>188</v>
      </c>
      <c r="H35" s="14" t="s">
        <v>38</v>
      </c>
      <c r="I35" s="14" t="s">
        <v>7</v>
      </c>
      <c r="J35" s="14" t="s">
        <v>39</v>
      </c>
      <c r="K35" s="14"/>
      <c r="L35" s="14"/>
    </row>
    <row r="36" customFormat="false" ht="23.85" hidden="false" customHeight="false" outlineLevel="0" collapsed="false">
      <c r="A36" s="14" t="s">
        <v>189</v>
      </c>
      <c r="B36" s="14" t="s">
        <v>12</v>
      </c>
      <c r="C36" s="14" t="s">
        <v>90</v>
      </c>
      <c r="D36" s="14" t="s">
        <v>190</v>
      </c>
      <c r="E36" s="15" t="s">
        <v>5</v>
      </c>
      <c r="F36" s="14" t="s">
        <v>191</v>
      </c>
      <c r="G36" s="14" t="s">
        <v>192</v>
      </c>
      <c r="H36" s="14" t="s">
        <v>38</v>
      </c>
      <c r="I36" s="14" t="s">
        <v>83</v>
      </c>
      <c r="J36" s="14" t="s">
        <v>39</v>
      </c>
      <c r="K36" s="14"/>
      <c r="L36" s="14"/>
    </row>
    <row r="37" customFormat="false" ht="23.85" hidden="false" customHeight="false" outlineLevel="0" collapsed="false">
      <c r="A37" s="14" t="s">
        <v>193</v>
      </c>
      <c r="B37" s="14" t="s">
        <v>13</v>
      </c>
      <c r="C37" s="14" t="s">
        <v>69</v>
      </c>
      <c r="D37" s="14" t="s">
        <v>194</v>
      </c>
      <c r="E37" s="15" t="s">
        <v>5</v>
      </c>
      <c r="F37" s="14" t="s">
        <v>65</v>
      </c>
      <c r="G37" s="14" t="s">
        <v>195</v>
      </c>
      <c r="H37" s="14" t="s">
        <v>73</v>
      </c>
      <c r="I37" s="14" t="s">
        <v>7</v>
      </c>
      <c r="J37" s="14" t="s">
        <v>39</v>
      </c>
      <c r="K37" s="14"/>
      <c r="L37" s="14"/>
    </row>
    <row r="38" customFormat="false" ht="23.85" hidden="false" customHeight="false" outlineLevel="0" collapsed="false">
      <c r="A38" s="14" t="s">
        <v>196</v>
      </c>
      <c r="B38" s="14" t="s">
        <v>13</v>
      </c>
      <c r="C38" s="14" t="s">
        <v>75</v>
      </c>
      <c r="D38" s="14" t="s">
        <v>197</v>
      </c>
      <c r="E38" s="15" t="s">
        <v>5</v>
      </c>
      <c r="F38" s="14" t="s">
        <v>198</v>
      </c>
      <c r="G38" s="14" t="s">
        <v>199</v>
      </c>
      <c r="H38" s="14" t="s">
        <v>73</v>
      </c>
      <c r="I38" s="14" t="s">
        <v>7</v>
      </c>
      <c r="J38" s="14" t="s">
        <v>39</v>
      </c>
      <c r="K38" s="14"/>
      <c r="L38" s="14"/>
    </row>
    <row r="39" customFormat="false" ht="23.85" hidden="false" customHeight="false" outlineLevel="0" collapsed="false">
      <c r="A39" s="14" t="s">
        <v>200</v>
      </c>
      <c r="B39" s="14" t="s">
        <v>13</v>
      </c>
      <c r="C39" s="14" t="s">
        <v>101</v>
      </c>
      <c r="D39" s="14" t="s">
        <v>201</v>
      </c>
      <c r="E39" s="16" t="s">
        <v>3</v>
      </c>
      <c r="F39" s="14" t="s">
        <v>202</v>
      </c>
      <c r="G39" s="14" t="s">
        <v>203</v>
      </c>
      <c r="H39" s="14" t="s">
        <v>105</v>
      </c>
      <c r="I39" s="14" t="s">
        <v>83</v>
      </c>
      <c r="J39" s="14" t="s">
        <v>39</v>
      </c>
      <c r="K39" s="14"/>
      <c r="L39" s="14"/>
    </row>
    <row r="40" customFormat="false" ht="23.85" hidden="false" customHeight="false" outlineLevel="0" collapsed="false">
      <c r="A40" s="14" t="s">
        <v>204</v>
      </c>
      <c r="B40" s="14" t="s">
        <v>13</v>
      </c>
      <c r="C40" s="14" t="s">
        <v>90</v>
      </c>
      <c r="D40" s="14" t="s">
        <v>205</v>
      </c>
      <c r="E40" s="15" t="s">
        <v>5</v>
      </c>
      <c r="F40" s="14" t="s">
        <v>65</v>
      </c>
      <c r="G40" s="14" t="s">
        <v>206</v>
      </c>
      <c r="H40" s="14" t="s">
        <v>94</v>
      </c>
      <c r="I40" s="14" t="s">
        <v>7</v>
      </c>
      <c r="J40" s="14" t="s">
        <v>39</v>
      </c>
      <c r="K40" s="14"/>
      <c r="L40" s="14"/>
    </row>
    <row r="41" customFormat="false" ht="23.85" hidden="false" customHeight="false" outlineLevel="0" collapsed="false">
      <c r="A41" s="14" t="s">
        <v>207</v>
      </c>
      <c r="B41" s="14" t="s">
        <v>14</v>
      </c>
      <c r="C41" s="14" t="s">
        <v>69</v>
      </c>
      <c r="D41" s="14" t="s">
        <v>208</v>
      </c>
      <c r="E41" s="15" t="s">
        <v>5</v>
      </c>
      <c r="F41" s="14" t="s">
        <v>65</v>
      </c>
      <c r="G41" s="14" t="s">
        <v>195</v>
      </c>
      <c r="H41" s="14" t="s">
        <v>73</v>
      </c>
      <c r="I41" s="14" t="s">
        <v>7</v>
      </c>
      <c r="J41" s="14" t="s">
        <v>39</v>
      </c>
      <c r="K41" s="14"/>
      <c r="L41" s="14"/>
    </row>
    <row r="42" customFormat="false" ht="23.85" hidden="false" customHeight="false" outlineLevel="0" collapsed="false">
      <c r="A42" s="14" t="s">
        <v>209</v>
      </c>
      <c r="B42" s="14" t="s">
        <v>14</v>
      </c>
      <c r="C42" s="14" t="s">
        <v>69</v>
      </c>
      <c r="D42" s="14" t="s">
        <v>210</v>
      </c>
      <c r="E42" s="17" t="s">
        <v>4</v>
      </c>
      <c r="F42" s="14" t="s">
        <v>211</v>
      </c>
      <c r="G42" s="14" t="s">
        <v>212</v>
      </c>
      <c r="H42" s="14" t="s">
        <v>213</v>
      </c>
      <c r="I42" s="14" t="s">
        <v>83</v>
      </c>
      <c r="J42" s="14" t="s">
        <v>39</v>
      </c>
      <c r="K42" s="14"/>
      <c r="L42" s="14"/>
    </row>
    <row r="43" customFormat="false" ht="15" hidden="false" customHeight="false" outlineLevel="0" collapsed="false">
      <c r="A43" s="14" t="s">
        <v>214</v>
      </c>
      <c r="B43" s="14" t="s">
        <v>14</v>
      </c>
      <c r="C43" s="14" t="s">
        <v>101</v>
      </c>
      <c r="D43" s="14" t="s">
        <v>215</v>
      </c>
      <c r="E43" s="17" t="s">
        <v>4</v>
      </c>
      <c r="F43" s="14" t="s">
        <v>216</v>
      </c>
      <c r="G43" s="14" t="s">
        <v>217</v>
      </c>
      <c r="H43" s="14" t="s">
        <v>105</v>
      </c>
      <c r="I43" s="14" t="s">
        <v>83</v>
      </c>
      <c r="J43" s="14" t="s">
        <v>39</v>
      </c>
      <c r="K43" s="14"/>
      <c r="L43" s="14"/>
    </row>
    <row r="44" customFormat="false" ht="15" hidden="false" customHeight="false" outlineLevel="0" collapsed="false">
      <c r="A44" s="14" t="s">
        <v>218</v>
      </c>
      <c r="B44" s="14" t="s">
        <v>14</v>
      </c>
      <c r="C44" s="14" t="s">
        <v>75</v>
      </c>
      <c r="D44" s="14" t="s">
        <v>219</v>
      </c>
      <c r="E44" s="15" t="s">
        <v>5</v>
      </c>
      <c r="F44" s="14" t="s">
        <v>191</v>
      </c>
      <c r="G44" s="14" t="s">
        <v>220</v>
      </c>
      <c r="H44" s="14" t="s">
        <v>73</v>
      </c>
      <c r="I44" s="14" t="s">
        <v>7</v>
      </c>
      <c r="J44" s="14" t="s">
        <v>39</v>
      </c>
      <c r="K44" s="14"/>
      <c r="L44" s="14"/>
    </row>
    <row r="45" customFormat="false" ht="23.85" hidden="false" customHeight="false" outlineLevel="0" collapsed="false">
      <c r="A45" s="14" t="s">
        <v>221</v>
      </c>
      <c r="B45" s="14" t="s">
        <v>15</v>
      </c>
      <c r="C45" s="14" t="s">
        <v>222</v>
      </c>
      <c r="D45" s="14" t="s">
        <v>223</v>
      </c>
      <c r="E45" s="17" t="s">
        <v>4</v>
      </c>
      <c r="F45" s="14" t="s">
        <v>224</v>
      </c>
      <c r="G45" s="14" t="s">
        <v>225</v>
      </c>
      <c r="H45" s="14" t="s">
        <v>51</v>
      </c>
      <c r="I45" s="14" t="s">
        <v>7</v>
      </c>
      <c r="J45" s="14" t="s">
        <v>39</v>
      </c>
      <c r="K45" s="14"/>
      <c r="L45" s="14"/>
    </row>
    <row r="46" customFormat="false" ht="23.85" hidden="false" customHeight="false" outlineLevel="0" collapsed="false">
      <c r="A46" s="14" t="s">
        <v>226</v>
      </c>
      <c r="B46" s="14" t="s">
        <v>15</v>
      </c>
      <c r="C46" s="14" t="s">
        <v>227</v>
      </c>
      <c r="D46" s="14" t="s">
        <v>228</v>
      </c>
      <c r="E46" s="17" t="s">
        <v>4</v>
      </c>
      <c r="F46" s="14" t="s">
        <v>229</v>
      </c>
      <c r="G46" s="14" t="s">
        <v>230</v>
      </c>
      <c r="H46" s="14" t="s">
        <v>51</v>
      </c>
      <c r="I46" s="14" t="s">
        <v>7</v>
      </c>
      <c r="J46" s="14" t="s">
        <v>39</v>
      </c>
      <c r="K46" s="14"/>
      <c r="L46" s="14"/>
    </row>
    <row r="47" customFormat="false" ht="23.85" hidden="false" customHeight="false" outlineLevel="0" collapsed="false">
      <c r="A47" s="14" t="s">
        <v>231</v>
      </c>
      <c r="B47" s="14" t="s">
        <v>15</v>
      </c>
      <c r="C47" s="14" t="s">
        <v>222</v>
      </c>
      <c r="D47" s="14" t="s">
        <v>232</v>
      </c>
      <c r="E47" s="15" t="s">
        <v>5</v>
      </c>
      <c r="F47" s="14" t="s">
        <v>233</v>
      </c>
      <c r="G47" s="14" t="s">
        <v>234</v>
      </c>
      <c r="H47" s="14" t="s">
        <v>51</v>
      </c>
      <c r="I47" s="14" t="s">
        <v>83</v>
      </c>
      <c r="J47" s="14" t="s">
        <v>39</v>
      </c>
      <c r="K47" s="14"/>
      <c r="L47" s="14"/>
    </row>
  </sheetData>
  <autoFilter ref="A4:L47"/>
  <mergeCells count="1">
    <mergeCell ref="A2:L2"/>
  </mergeCells>
  <dataValidations count="3">
    <dataValidation allowBlank="true" errorStyle="stop" operator="between" showDropDown="false" showErrorMessage="false" showInputMessage="false" sqref="I5:I47" type="list">
      <formula1>"Must,Should,Could"</formula1>
      <formula2>0</formula2>
    </dataValidation>
    <dataValidation allowBlank="true" errorStyle="stop" operator="between" showDropDown="false" showErrorMessage="false" showInputMessage="false" sqref="J5:J47" type="list">
      <formula1>"Not started,In progress,Done,On hold"</formula1>
      <formula2>0</formula2>
    </dataValidation>
    <dataValidation allowBlank="true" errorStyle="stop" operator="between" showDropDown="false" showErrorMessage="false" showInputMessage="false" sqref="E5:E47" type="list">
      <formula1>"Exists,Partial,Gap"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46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235</v>
      </c>
    </row>
    <row r="2" customFormat="false" ht="42" hidden="false" customHeight="true" outlineLevel="0" collapsed="false">
      <c r="A2" s="11" t="s">
        <v>236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26.85" hidden="false" customHeight="false" outlineLevel="0" collapsed="false">
      <c r="A4" s="12" t="s">
        <v>2</v>
      </c>
      <c r="B4" s="12" t="s">
        <v>237</v>
      </c>
      <c r="C4" s="12" t="s">
        <v>238</v>
      </c>
      <c r="D4" s="12" t="s">
        <v>239</v>
      </c>
      <c r="E4" s="12" t="s">
        <v>25</v>
      </c>
      <c r="F4" s="13" t="s">
        <v>240</v>
      </c>
      <c r="G4" s="13" t="s">
        <v>241</v>
      </c>
      <c r="H4" s="13" t="s">
        <v>242</v>
      </c>
      <c r="I4" s="12" t="s">
        <v>243</v>
      </c>
      <c r="J4" s="13" t="s">
        <v>32</v>
      </c>
    </row>
    <row r="5" customFormat="false" ht="35.05" hidden="false" customHeight="false" outlineLevel="0" collapsed="false">
      <c r="A5" s="14" t="s">
        <v>244</v>
      </c>
      <c r="B5" s="14" t="s">
        <v>245</v>
      </c>
      <c r="C5" s="14" t="s">
        <v>246</v>
      </c>
      <c r="D5" s="14" t="s">
        <v>247</v>
      </c>
      <c r="E5" s="14" t="s">
        <v>248</v>
      </c>
      <c r="F5" s="14" t="s">
        <v>249</v>
      </c>
      <c r="G5" s="14" t="s">
        <v>51</v>
      </c>
      <c r="H5" s="14" t="s">
        <v>250</v>
      </c>
      <c r="I5" s="14" t="s">
        <v>251</v>
      </c>
      <c r="J5" s="14" t="s">
        <v>252</v>
      </c>
    </row>
    <row r="6" customFormat="false" ht="23.85" hidden="false" customHeight="false" outlineLevel="0" collapsed="false">
      <c r="A6" s="14" t="s">
        <v>244</v>
      </c>
      <c r="B6" s="14" t="s">
        <v>253</v>
      </c>
      <c r="C6" s="14" t="s">
        <v>254</v>
      </c>
      <c r="D6" s="14" t="s">
        <v>255</v>
      </c>
      <c r="E6" s="14" t="s">
        <v>256</v>
      </c>
      <c r="F6" s="14" t="s">
        <v>257</v>
      </c>
      <c r="G6" s="14" t="s">
        <v>258</v>
      </c>
      <c r="H6" s="14" t="s">
        <v>259</v>
      </c>
      <c r="I6" s="14" t="s">
        <v>260</v>
      </c>
      <c r="J6" s="14"/>
    </row>
    <row r="7" customFormat="false" ht="15" hidden="false" customHeight="false" outlineLevel="0" collapsed="false">
      <c r="A7" s="14" t="s">
        <v>244</v>
      </c>
      <c r="B7" s="14" t="s">
        <v>261</v>
      </c>
      <c r="C7" s="14" t="s">
        <v>254</v>
      </c>
      <c r="D7" s="14" t="s">
        <v>255</v>
      </c>
      <c r="E7" s="14" t="s">
        <v>256</v>
      </c>
      <c r="F7" s="14" t="s">
        <v>257</v>
      </c>
      <c r="G7" s="14" t="s">
        <v>258</v>
      </c>
      <c r="H7" s="14" t="s">
        <v>259</v>
      </c>
      <c r="I7" s="14" t="s">
        <v>262</v>
      </c>
      <c r="J7" s="14"/>
    </row>
    <row r="8" customFormat="false" ht="15" hidden="false" customHeight="false" outlineLevel="0" collapsed="false">
      <c r="A8" s="14" t="s">
        <v>244</v>
      </c>
      <c r="B8" s="14" t="s">
        <v>263</v>
      </c>
      <c r="C8" s="14" t="s">
        <v>254</v>
      </c>
      <c r="D8" s="14" t="s">
        <v>255</v>
      </c>
      <c r="E8" s="14" t="s">
        <v>256</v>
      </c>
      <c r="F8" s="14" t="s">
        <v>257</v>
      </c>
      <c r="G8" s="14" t="s">
        <v>258</v>
      </c>
      <c r="H8" s="14" t="s">
        <v>259</v>
      </c>
      <c r="I8" s="14" t="s">
        <v>264</v>
      </c>
      <c r="J8" s="14"/>
    </row>
    <row r="9" customFormat="false" ht="15" hidden="false" customHeight="false" outlineLevel="0" collapsed="false">
      <c r="A9" s="14" t="s">
        <v>244</v>
      </c>
      <c r="B9" s="14" t="s">
        <v>265</v>
      </c>
      <c r="C9" s="14" t="s">
        <v>254</v>
      </c>
      <c r="D9" s="14" t="s">
        <v>255</v>
      </c>
      <c r="E9" s="14" t="s">
        <v>256</v>
      </c>
      <c r="F9" s="14" t="s">
        <v>249</v>
      </c>
      <c r="G9" s="14" t="s">
        <v>51</v>
      </c>
      <c r="H9" s="14" t="s">
        <v>259</v>
      </c>
      <c r="I9" s="14" t="s">
        <v>266</v>
      </c>
      <c r="J9" s="14"/>
    </row>
    <row r="10" customFormat="false" ht="15" hidden="false" customHeight="false" outlineLevel="0" collapsed="false">
      <c r="A10" s="14" t="s">
        <v>244</v>
      </c>
      <c r="B10" s="14" t="s">
        <v>267</v>
      </c>
      <c r="C10" s="14" t="s">
        <v>254</v>
      </c>
      <c r="D10" s="14" t="s">
        <v>255</v>
      </c>
      <c r="E10" s="14" t="s">
        <v>256</v>
      </c>
      <c r="F10" s="14" t="s">
        <v>257</v>
      </c>
      <c r="G10" s="14" t="s">
        <v>268</v>
      </c>
      <c r="H10" s="14" t="s">
        <v>259</v>
      </c>
      <c r="I10" s="14" t="s">
        <v>269</v>
      </c>
      <c r="J10" s="14"/>
    </row>
    <row r="11" customFormat="false" ht="15" hidden="false" customHeight="false" outlineLevel="0" collapsed="false">
      <c r="A11" s="14" t="s">
        <v>244</v>
      </c>
      <c r="B11" s="14" t="s">
        <v>270</v>
      </c>
      <c r="C11" s="14" t="s">
        <v>254</v>
      </c>
      <c r="D11" s="14" t="s">
        <v>255</v>
      </c>
      <c r="E11" s="14" t="s">
        <v>256</v>
      </c>
      <c r="F11" s="14" t="s">
        <v>249</v>
      </c>
      <c r="G11" s="14" t="s">
        <v>51</v>
      </c>
      <c r="H11" s="14" t="s">
        <v>259</v>
      </c>
      <c r="I11" s="14" t="s">
        <v>271</v>
      </c>
      <c r="J11" s="14"/>
    </row>
    <row r="12" customFormat="false" ht="15" hidden="false" customHeight="false" outlineLevel="0" collapsed="false">
      <c r="A12" s="14" t="s">
        <v>244</v>
      </c>
      <c r="B12" s="14" t="s">
        <v>272</v>
      </c>
      <c r="C12" s="14" t="s">
        <v>254</v>
      </c>
      <c r="D12" s="14" t="s">
        <v>255</v>
      </c>
      <c r="E12" s="14" t="s">
        <v>256</v>
      </c>
      <c r="F12" s="14" t="s">
        <v>249</v>
      </c>
      <c r="G12" s="14" t="s">
        <v>51</v>
      </c>
      <c r="H12" s="14" t="s">
        <v>259</v>
      </c>
      <c r="I12" s="14" t="s">
        <v>273</v>
      </c>
      <c r="J12" s="14"/>
    </row>
    <row r="13" customFormat="false" ht="15" hidden="false" customHeight="false" outlineLevel="0" collapsed="false">
      <c r="A13" s="14" t="s">
        <v>244</v>
      </c>
      <c r="B13" s="14" t="s">
        <v>274</v>
      </c>
      <c r="C13" s="14" t="s">
        <v>254</v>
      </c>
      <c r="D13" s="14" t="s">
        <v>255</v>
      </c>
      <c r="E13" s="14" t="s">
        <v>256</v>
      </c>
      <c r="F13" s="14" t="s">
        <v>257</v>
      </c>
      <c r="G13" s="14" t="s">
        <v>258</v>
      </c>
      <c r="H13" s="14" t="s">
        <v>259</v>
      </c>
      <c r="I13" s="14" t="s">
        <v>275</v>
      </c>
      <c r="J13" s="14"/>
    </row>
    <row r="14" customFormat="false" ht="23.85" hidden="false" customHeight="false" outlineLevel="0" collapsed="false">
      <c r="A14" s="14" t="s">
        <v>11</v>
      </c>
      <c r="B14" s="14" t="s">
        <v>276</v>
      </c>
      <c r="C14" s="14" t="s">
        <v>246</v>
      </c>
      <c r="D14" s="14" t="s">
        <v>247</v>
      </c>
      <c r="E14" s="14" t="s">
        <v>277</v>
      </c>
      <c r="F14" s="14" t="s">
        <v>249</v>
      </c>
      <c r="G14" s="14" t="s">
        <v>51</v>
      </c>
      <c r="H14" s="14" t="s">
        <v>278</v>
      </c>
      <c r="I14" s="14" t="s">
        <v>279</v>
      </c>
      <c r="J14" s="14"/>
    </row>
    <row r="15" customFormat="false" ht="15" hidden="false" customHeight="false" outlineLevel="0" collapsed="false">
      <c r="A15" s="14" t="s">
        <v>11</v>
      </c>
      <c r="B15" s="14" t="s">
        <v>280</v>
      </c>
      <c r="C15" s="14" t="s">
        <v>254</v>
      </c>
      <c r="D15" s="14" t="s">
        <v>255</v>
      </c>
      <c r="E15" s="14" t="s">
        <v>277</v>
      </c>
      <c r="F15" s="14" t="s">
        <v>281</v>
      </c>
      <c r="G15" s="14" t="s">
        <v>282</v>
      </c>
      <c r="H15" s="14" t="s">
        <v>283</v>
      </c>
      <c r="I15" s="14" t="s">
        <v>284</v>
      </c>
      <c r="J15" s="14"/>
    </row>
    <row r="16" customFormat="false" ht="15" hidden="false" customHeight="false" outlineLevel="0" collapsed="false">
      <c r="A16" s="14" t="s">
        <v>11</v>
      </c>
      <c r="B16" s="14" t="s">
        <v>285</v>
      </c>
      <c r="C16" s="14" t="s">
        <v>254</v>
      </c>
      <c r="D16" s="14" t="s">
        <v>255</v>
      </c>
      <c r="E16" s="14" t="s">
        <v>277</v>
      </c>
      <c r="F16" s="14" t="s">
        <v>257</v>
      </c>
      <c r="G16" s="14" t="s">
        <v>258</v>
      </c>
      <c r="H16" s="14" t="s">
        <v>283</v>
      </c>
      <c r="I16" s="14" t="s">
        <v>286</v>
      </c>
      <c r="J16" s="14"/>
    </row>
    <row r="17" customFormat="false" ht="15" hidden="false" customHeight="false" outlineLevel="0" collapsed="false">
      <c r="A17" s="14" t="s">
        <v>11</v>
      </c>
      <c r="B17" s="14" t="s">
        <v>287</v>
      </c>
      <c r="C17" s="14" t="s">
        <v>254</v>
      </c>
      <c r="D17" s="14" t="s">
        <v>255</v>
      </c>
      <c r="E17" s="14" t="s">
        <v>277</v>
      </c>
      <c r="F17" s="14" t="s">
        <v>257</v>
      </c>
      <c r="G17" s="14" t="s">
        <v>258</v>
      </c>
      <c r="H17" s="14" t="s">
        <v>283</v>
      </c>
      <c r="I17" s="14" t="s">
        <v>288</v>
      </c>
      <c r="J17" s="14"/>
    </row>
    <row r="18" customFormat="false" ht="15" hidden="false" customHeight="false" outlineLevel="0" collapsed="false">
      <c r="A18" s="14" t="s">
        <v>11</v>
      </c>
      <c r="B18" s="14" t="s">
        <v>289</v>
      </c>
      <c r="C18" s="14" t="s">
        <v>254</v>
      </c>
      <c r="D18" s="14" t="s">
        <v>255</v>
      </c>
      <c r="E18" s="14" t="s">
        <v>277</v>
      </c>
      <c r="F18" s="14" t="s">
        <v>249</v>
      </c>
      <c r="G18" s="14" t="s">
        <v>51</v>
      </c>
      <c r="H18" s="14" t="s">
        <v>283</v>
      </c>
      <c r="I18" s="14" t="s">
        <v>290</v>
      </c>
      <c r="J18" s="14"/>
    </row>
    <row r="19" customFormat="false" ht="23.85" hidden="false" customHeight="false" outlineLevel="0" collapsed="false">
      <c r="A19" s="14" t="s">
        <v>12</v>
      </c>
      <c r="B19" s="14" t="s">
        <v>291</v>
      </c>
      <c r="C19" s="14" t="s">
        <v>254</v>
      </c>
      <c r="D19" s="14" t="s">
        <v>255</v>
      </c>
      <c r="E19" s="14" t="s">
        <v>277</v>
      </c>
      <c r="F19" s="14" t="s">
        <v>249</v>
      </c>
      <c r="G19" s="14" t="s">
        <v>51</v>
      </c>
      <c r="H19" s="14" t="s">
        <v>283</v>
      </c>
      <c r="I19" s="14" t="s">
        <v>292</v>
      </c>
      <c r="J19" s="14"/>
    </row>
    <row r="20" customFormat="false" ht="15" hidden="false" customHeight="false" outlineLevel="0" collapsed="false">
      <c r="A20" s="14" t="s">
        <v>12</v>
      </c>
      <c r="B20" s="14" t="s">
        <v>293</v>
      </c>
      <c r="C20" s="14" t="s">
        <v>254</v>
      </c>
      <c r="D20" s="14" t="s">
        <v>255</v>
      </c>
      <c r="E20" s="14" t="s">
        <v>277</v>
      </c>
      <c r="F20" s="14" t="s">
        <v>249</v>
      </c>
      <c r="G20" s="14" t="s">
        <v>51</v>
      </c>
      <c r="H20" s="14" t="s">
        <v>283</v>
      </c>
      <c r="I20" s="14" t="s">
        <v>294</v>
      </c>
      <c r="J20" s="14"/>
    </row>
    <row r="21" customFormat="false" ht="15" hidden="false" customHeight="false" outlineLevel="0" collapsed="false">
      <c r="A21" s="14" t="s">
        <v>12</v>
      </c>
      <c r="B21" s="14" t="s">
        <v>295</v>
      </c>
      <c r="C21" s="14" t="s">
        <v>254</v>
      </c>
      <c r="D21" s="14" t="s">
        <v>255</v>
      </c>
      <c r="E21" s="14" t="s">
        <v>277</v>
      </c>
      <c r="F21" s="14" t="s">
        <v>249</v>
      </c>
      <c r="G21" s="14" t="s">
        <v>51</v>
      </c>
      <c r="H21" s="14" t="s">
        <v>283</v>
      </c>
      <c r="I21" s="14" t="s">
        <v>296</v>
      </c>
      <c r="J21" s="14"/>
    </row>
    <row r="22" customFormat="false" ht="15" hidden="false" customHeight="false" outlineLevel="0" collapsed="false">
      <c r="A22" s="14" t="s">
        <v>12</v>
      </c>
      <c r="B22" s="14" t="s">
        <v>297</v>
      </c>
      <c r="C22" s="14" t="s">
        <v>254</v>
      </c>
      <c r="D22" s="14" t="s">
        <v>255</v>
      </c>
      <c r="E22" s="14" t="s">
        <v>277</v>
      </c>
      <c r="F22" s="14" t="s">
        <v>249</v>
      </c>
      <c r="G22" s="14" t="s">
        <v>51</v>
      </c>
      <c r="H22" s="14" t="s">
        <v>283</v>
      </c>
      <c r="I22" s="14" t="s">
        <v>298</v>
      </c>
      <c r="J22" s="14"/>
    </row>
    <row r="23" customFormat="false" ht="15" hidden="false" customHeight="false" outlineLevel="0" collapsed="false">
      <c r="A23" s="14" t="s">
        <v>12</v>
      </c>
      <c r="B23" s="14" t="s">
        <v>299</v>
      </c>
      <c r="C23" s="14" t="s">
        <v>254</v>
      </c>
      <c r="D23" s="14" t="s">
        <v>255</v>
      </c>
      <c r="E23" s="14" t="s">
        <v>277</v>
      </c>
      <c r="F23" s="14" t="s">
        <v>249</v>
      </c>
      <c r="G23" s="14" t="s">
        <v>51</v>
      </c>
      <c r="H23" s="14" t="s">
        <v>283</v>
      </c>
      <c r="I23" s="14" t="s">
        <v>300</v>
      </c>
      <c r="J23" s="14"/>
    </row>
    <row r="24" customFormat="false" ht="23.85" hidden="false" customHeight="false" outlineLevel="0" collapsed="false">
      <c r="A24" s="14" t="s">
        <v>301</v>
      </c>
      <c r="B24" s="14" t="s">
        <v>302</v>
      </c>
      <c r="C24" s="14" t="s">
        <v>254</v>
      </c>
      <c r="D24" s="14" t="s">
        <v>255</v>
      </c>
      <c r="E24" s="14" t="s">
        <v>303</v>
      </c>
      <c r="F24" s="14" t="s">
        <v>304</v>
      </c>
      <c r="G24" s="14" t="s">
        <v>304</v>
      </c>
      <c r="H24" s="14" t="s">
        <v>283</v>
      </c>
      <c r="I24" s="14" t="s">
        <v>305</v>
      </c>
      <c r="J24" s="14" t="s">
        <v>306</v>
      </c>
    </row>
    <row r="25" customFormat="false" ht="23.85" hidden="false" customHeight="false" outlineLevel="0" collapsed="false">
      <c r="A25" s="14" t="s">
        <v>14</v>
      </c>
      <c r="B25" s="14" t="s">
        <v>307</v>
      </c>
      <c r="C25" s="14" t="s">
        <v>254</v>
      </c>
      <c r="D25" s="14" t="s">
        <v>255</v>
      </c>
      <c r="E25" s="14" t="s">
        <v>303</v>
      </c>
      <c r="F25" s="14" t="s">
        <v>304</v>
      </c>
      <c r="G25" s="14" t="s">
        <v>308</v>
      </c>
      <c r="H25" s="14" t="s">
        <v>283</v>
      </c>
      <c r="I25" s="14" t="s">
        <v>309</v>
      </c>
      <c r="J25" s="14" t="s">
        <v>306</v>
      </c>
    </row>
  </sheetData>
  <autoFilter ref="A4:J25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2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310</v>
      </c>
    </row>
    <row r="2" customFormat="false" ht="42" hidden="false" customHeight="true" outlineLevel="0" collapsed="false">
      <c r="A2" s="11" t="s">
        <v>311</v>
      </c>
      <c r="B2" s="11"/>
      <c r="C2" s="11"/>
      <c r="D2" s="11"/>
      <c r="E2" s="11"/>
    </row>
    <row r="4" customFormat="false" ht="15" hidden="false" customHeight="false" outlineLevel="0" collapsed="false">
      <c r="A4" s="12" t="s">
        <v>238</v>
      </c>
      <c r="B4" s="12" t="s">
        <v>312</v>
      </c>
      <c r="C4" s="12" t="s">
        <v>313</v>
      </c>
      <c r="D4" s="12" t="s">
        <v>314</v>
      </c>
      <c r="E4" s="12" t="s">
        <v>315</v>
      </c>
    </row>
    <row r="5" customFormat="false" ht="23.85" hidden="false" customHeight="false" outlineLevel="0" collapsed="false">
      <c r="A5" s="14" t="s">
        <v>316</v>
      </c>
      <c r="B5" s="14" t="s">
        <v>317</v>
      </c>
      <c r="C5" s="14" t="s">
        <v>318</v>
      </c>
      <c r="D5" s="14" t="s">
        <v>319</v>
      </c>
      <c r="E5" s="14" t="s">
        <v>320</v>
      </c>
    </row>
    <row r="6" customFormat="false" ht="23.85" hidden="false" customHeight="false" outlineLevel="0" collapsed="false">
      <c r="A6" s="14" t="s">
        <v>321</v>
      </c>
      <c r="B6" s="14" t="s">
        <v>322</v>
      </c>
      <c r="C6" s="14" t="s">
        <v>323</v>
      </c>
      <c r="D6" s="14" t="s">
        <v>324</v>
      </c>
      <c r="E6" s="14" t="s">
        <v>325</v>
      </c>
    </row>
    <row r="7" customFormat="false" ht="23.85" hidden="false" customHeight="false" outlineLevel="0" collapsed="false">
      <c r="A7" s="14" t="s">
        <v>326</v>
      </c>
      <c r="B7" s="14" t="s">
        <v>327</v>
      </c>
      <c r="C7" s="14" t="s">
        <v>328</v>
      </c>
      <c r="D7" s="14" t="s">
        <v>329</v>
      </c>
      <c r="E7" s="14" t="s">
        <v>330</v>
      </c>
    </row>
    <row r="9" customFormat="false" ht="15" hidden="false" customHeight="false" outlineLevel="0" collapsed="false">
      <c r="A9" s="18" t="s">
        <v>331</v>
      </c>
    </row>
    <row r="10" customFormat="false" ht="15" hidden="false" customHeight="false" outlineLevel="0" collapsed="false">
      <c r="A10" s="3" t="s">
        <v>332</v>
      </c>
      <c r="B10" s="3" t="s">
        <v>333</v>
      </c>
      <c r="C10" s="3" t="s">
        <v>334</v>
      </c>
    </row>
    <row r="11" customFormat="false" ht="15" hidden="false" customHeight="false" outlineLevel="0" collapsed="false">
      <c r="A11" s="19" t="s">
        <v>335</v>
      </c>
      <c r="B11" s="19" t="s">
        <v>336</v>
      </c>
      <c r="C11" s="19" t="s">
        <v>337</v>
      </c>
    </row>
    <row r="12" customFormat="false" ht="15" hidden="false" customHeight="false" outlineLevel="0" collapsed="false">
      <c r="A12" s="19" t="s">
        <v>338</v>
      </c>
      <c r="B12" s="19" t="s">
        <v>339</v>
      </c>
      <c r="C12" s="19" t="s">
        <v>337</v>
      </c>
    </row>
    <row r="13" customFormat="false" ht="15" hidden="false" customHeight="false" outlineLevel="0" collapsed="false">
      <c r="A13" s="19" t="s">
        <v>340</v>
      </c>
      <c r="B13" s="19" t="s">
        <v>341</v>
      </c>
      <c r="C13" s="19" t="s">
        <v>337</v>
      </c>
    </row>
    <row r="14" customFormat="false" ht="15" hidden="false" customHeight="false" outlineLevel="0" collapsed="false">
      <c r="A14" s="19" t="s">
        <v>342</v>
      </c>
      <c r="B14" s="19" t="s">
        <v>343</v>
      </c>
      <c r="C14" s="19" t="s">
        <v>337</v>
      </c>
    </row>
    <row r="15" customFormat="false" ht="15" hidden="false" customHeight="false" outlineLevel="0" collapsed="false">
      <c r="A15" s="19" t="s">
        <v>344</v>
      </c>
      <c r="B15" s="19" t="s">
        <v>343</v>
      </c>
      <c r="C15" s="19" t="s">
        <v>345</v>
      </c>
    </row>
    <row r="16" customFormat="false" ht="15" hidden="false" customHeight="false" outlineLevel="0" collapsed="false">
      <c r="A16" s="19" t="s">
        <v>346</v>
      </c>
      <c r="B16" s="19" t="s">
        <v>347</v>
      </c>
      <c r="C16" s="19" t="s">
        <v>348</v>
      </c>
    </row>
  </sheetData>
  <autoFilter ref="A4:E7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349</v>
      </c>
    </row>
    <row r="2" customFormat="false" ht="42" hidden="false" customHeight="true" outlineLevel="0" collapsed="false">
      <c r="A2" s="11" t="s">
        <v>350</v>
      </c>
      <c r="B2" s="11"/>
      <c r="C2" s="11"/>
      <c r="D2" s="11"/>
      <c r="E2" s="11"/>
    </row>
    <row r="4" customFormat="false" ht="26.85" hidden="false" customHeight="false" outlineLevel="0" collapsed="false">
      <c r="A4" s="12" t="s">
        <v>351</v>
      </c>
      <c r="B4" s="12" t="s">
        <v>352</v>
      </c>
      <c r="C4" s="12" t="s">
        <v>353</v>
      </c>
      <c r="D4" s="12" t="s">
        <v>354</v>
      </c>
      <c r="E4" s="12" t="s">
        <v>355</v>
      </c>
    </row>
    <row r="5" customFormat="false" ht="15" hidden="false" customHeight="false" outlineLevel="0" collapsed="false">
      <c r="A5" s="14" t="s">
        <v>356</v>
      </c>
      <c r="B5" s="14" t="s">
        <v>357</v>
      </c>
      <c r="C5" s="14" t="s">
        <v>358</v>
      </c>
      <c r="D5" s="14" t="s">
        <v>359</v>
      </c>
      <c r="E5" s="14" t="s">
        <v>360</v>
      </c>
    </row>
    <row r="6" customFormat="false" ht="15" hidden="false" customHeight="false" outlineLevel="0" collapsed="false">
      <c r="A6" s="14" t="s">
        <v>361</v>
      </c>
      <c r="B6" s="14" t="s">
        <v>357</v>
      </c>
      <c r="C6" s="14" t="s">
        <v>362</v>
      </c>
      <c r="D6" s="14" t="s">
        <v>363</v>
      </c>
      <c r="E6" s="14" t="s">
        <v>364</v>
      </c>
    </row>
    <row r="7" customFormat="false" ht="23.85" hidden="false" customHeight="false" outlineLevel="0" collapsed="false">
      <c r="A7" s="14" t="s">
        <v>365</v>
      </c>
      <c r="B7" s="14" t="s">
        <v>357</v>
      </c>
      <c r="C7" s="14" t="s">
        <v>366</v>
      </c>
      <c r="D7" s="14" t="s">
        <v>367</v>
      </c>
      <c r="E7" s="14" t="s">
        <v>364</v>
      </c>
    </row>
    <row r="8" customFormat="false" ht="15" hidden="false" customHeight="false" outlineLevel="0" collapsed="false">
      <c r="A8" s="14" t="s">
        <v>368</v>
      </c>
      <c r="B8" s="14" t="s">
        <v>357</v>
      </c>
      <c r="C8" s="14" t="s">
        <v>369</v>
      </c>
      <c r="D8" s="14" t="s">
        <v>370</v>
      </c>
      <c r="E8" s="14" t="s">
        <v>364</v>
      </c>
    </row>
    <row r="9" customFormat="false" ht="15" hidden="false" customHeight="false" outlineLevel="0" collapsed="false">
      <c r="A9" s="14" t="s">
        <v>371</v>
      </c>
      <c r="B9" s="14" t="s">
        <v>357</v>
      </c>
      <c r="C9" s="14" t="s">
        <v>372</v>
      </c>
      <c r="D9" s="14" t="s">
        <v>373</v>
      </c>
      <c r="E9" s="14" t="s">
        <v>364</v>
      </c>
    </row>
    <row r="10" customFormat="false" ht="15" hidden="false" customHeight="false" outlineLevel="0" collapsed="false">
      <c r="A10" s="14" t="s">
        <v>374</v>
      </c>
      <c r="B10" s="14" t="s">
        <v>357</v>
      </c>
      <c r="C10" s="14" t="s">
        <v>375</v>
      </c>
      <c r="D10" s="14" t="s">
        <v>376</v>
      </c>
      <c r="E10" s="14" t="s">
        <v>377</v>
      </c>
    </row>
    <row r="11" customFormat="false" ht="15" hidden="false" customHeight="false" outlineLevel="0" collapsed="false">
      <c r="A11" s="14" t="s">
        <v>378</v>
      </c>
      <c r="B11" s="14" t="s">
        <v>277</v>
      </c>
      <c r="C11" s="14" t="s">
        <v>379</v>
      </c>
      <c r="D11" s="14" t="s">
        <v>380</v>
      </c>
      <c r="E11" s="14" t="s">
        <v>364</v>
      </c>
    </row>
    <row r="12" customFormat="false" ht="15" hidden="false" customHeight="false" outlineLevel="0" collapsed="false">
      <c r="A12" s="14" t="s">
        <v>381</v>
      </c>
      <c r="B12" s="14" t="s">
        <v>277</v>
      </c>
      <c r="C12" s="14" t="s">
        <v>382</v>
      </c>
      <c r="D12" s="14" t="s">
        <v>383</v>
      </c>
      <c r="E12" s="14" t="s">
        <v>364</v>
      </c>
    </row>
    <row r="13" customFormat="false" ht="23.85" hidden="false" customHeight="false" outlineLevel="0" collapsed="false">
      <c r="A13" s="14" t="s">
        <v>384</v>
      </c>
      <c r="B13" s="14" t="s">
        <v>277</v>
      </c>
      <c r="C13" s="14" t="s">
        <v>385</v>
      </c>
      <c r="D13" s="14" t="s">
        <v>386</v>
      </c>
      <c r="E13" s="14" t="s">
        <v>364</v>
      </c>
    </row>
    <row r="14" customFormat="false" ht="15" hidden="false" customHeight="false" outlineLevel="0" collapsed="false">
      <c r="A14" s="14" t="s">
        <v>387</v>
      </c>
      <c r="B14" s="14" t="s">
        <v>277</v>
      </c>
      <c r="C14" s="14" t="s">
        <v>388</v>
      </c>
      <c r="D14" s="14" t="s">
        <v>389</v>
      </c>
      <c r="E14" s="14" t="s">
        <v>364</v>
      </c>
    </row>
  </sheetData>
  <autoFilter ref="A4:E14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390</v>
      </c>
    </row>
    <row r="2" customFormat="false" ht="42" hidden="false" customHeight="true" outlineLevel="0" collapsed="false">
      <c r="A2" s="11" t="s">
        <v>391</v>
      </c>
      <c r="B2" s="11"/>
      <c r="C2" s="11"/>
      <c r="D2" s="11"/>
    </row>
    <row r="4" customFormat="false" ht="26.85" hidden="false" customHeight="false" outlineLevel="0" collapsed="false">
      <c r="A4" s="12" t="s">
        <v>392</v>
      </c>
      <c r="B4" s="12" t="s">
        <v>352</v>
      </c>
      <c r="C4" s="12" t="s">
        <v>393</v>
      </c>
      <c r="D4" s="12" t="s">
        <v>394</v>
      </c>
    </row>
    <row r="5" customFormat="false" ht="15" hidden="false" customHeight="false" outlineLevel="0" collapsed="false">
      <c r="A5" s="14" t="s">
        <v>395</v>
      </c>
      <c r="B5" s="14" t="s">
        <v>357</v>
      </c>
      <c r="C5" s="14" t="s">
        <v>396</v>
      </c>
      <c r="D5" s="14" t="s">
        <v>397</v>
      </c>
    </row>
    <row r="6" customFormat="false" ht="15" hidden="false" customHeight="false" outlineLevel="0" collapsed="false">
      <c r="A6" s="14" t="s">
        <v>398</v>
      </c>
      <c r="B6" s="14" t="s">
        <v>357</v>
      </c>
      <c r="C6" s="14" t="s">
        <v>399</v>
      </c>
      <c r="D6" s="14" t="s">
        <v>397</v>
      </c>
    </row>
    <row r="7" customFormat="false" ht="15" hidden="false" customHeight="false" outlineLevel="0" collapsed="false">
      <c r="A7" s="14" t="s">
        <v>400</v>
      </c>
      <c r="B7" s="14" t="s">
        <v>357</v>
      </c>
      <c r="C7" s="14" t="s">
        <v>401</v>
      </c>
      <c r="D7" s="14" t="s">
        <v>397</v>
      </c>
    </row>
    <row r="8" customFormat="false" ht="15" hidden="false" customHeight="false" outlineLevel="0" collapsed="false">
      <c r="A8" s="14" t="s">
        <v>402</v>
      </c>
      <c r="B8" s="14" t="s">
        <v>357</v>
      </c>
      <c r="C8" s="14" t="s">
        <v>403</v>
      </c>
      <c r="D8" s="14" t="s">
        <v>404</v>
      </c>
    </row>
    <row r="9" customFormat="false" ht="15" hidden="false" customHeight="false" outlineLevel="0" collapsed="false">
      <c r="A9" s="14" t="s">
        <v>405</v>
      </c>
      <c r="B9" s="14" t="s">
        <v>357</v>
      </c>
      <c r="C9" s="14" t="s">
        <v>406</v>
      </c>
      <c r="D9" s="14" t="s">
        <v>397</v>
      </c>
    </row>
    <row r="10" customFormat="false" ht="15" hidden="false" customHeight="false" outlineLevel="0" collapsed="false">
      <c r="A10" s="14" t="s">
        <v>407</v>
      </c>
      <c r="B10" s="14" t="s">
        <v>357</v>
      </c>
      <c r="C10" s="14" t="s">
        <v>408</v>
      </c>
      <c r="D10" s="14" t="s">
        <v>409</v>
      </c>
    </row>
    <row r="11" customFormat="false" ht="15" hidden="false" customHeight="false" outlineLevel="0" collapsed="false">
      <c r="A11" s="14" t="s">
        <v>410</v>
      </c>
      <c r="B11" s="14" t="s">
        <v>357</v>
      </c>
      <c r="C11" s="14" t="s">
        <v>411</v>
      </c>
      <c r="D11" s="14" t="s">
        <v>412</v>
      </c>
    </row>
    <row r="12" customFormat="false" ht="15" hidden="false" customHeight="false" outlineLevel="0" collapsed="false">
      <c r="A12" s="14" t="s">
        <v>413</v>
      </c>
      <c r="B12" s="14" t="s">
        <v>357</v>
      </c>
      <c r="C12" s="14" t="s">
        <v>414</v>
      </c>
      <c r="D12" s="14" t="s">
        <v>397</v>
      </c>
    </row>
    <row r="13" customFormat="false" ht="15" hidden="false" customHeight="false" outlineLevel="0" collapsed="false">
      <c r="A13" s="14" t="s">
        <v>415</v>
      </c>
      <c r="B13" s="14" t="s">
        <v>357</v>
      </c>
      <c r="C13" s="14" t="s">
        <v>416</v>
      </c>
      <c r="D13" s="14" t="s">
        <v>397</v>
      </c>
    </row>
    <row r="14" customFormat="false" ht="15" hidden="false" customHeight="false" outlineLevel="0" collapsed="false">
      <c r="A14" s="14" t="s">
        <v>417</v>
      </c>
      <c r="B14" s="14" t="s">
        <v>357</v>
      </c>
      <c r="C14" s="14" t="s">
        <v>418</v>
      </c>
      <c r="D14" s="14" t="s">
        <v>419</v>
      </c>
    </row>
    <row r="15" customFormat="false" ht="15" hidden="false" customHeight="false" outlineLevel="0" collapsed="false">
      <c r="A15" s="14" t="s">
        <v>420</v>
      </c>
      <c r="B15" s="14" t="s">
        <v>357</v>
      </c>
      <c r="C15" s="14" t="s">
        <v>421</v>
      </c>
      <c r="D15" s="14" t="s">
        <v>397</v>
      </c>
    </row>
    <row r="16" customFormat="false" ht="15" hidden="false" customHeight="false" outlineLevel="0" collapsed="false">
      <c r="A16" s="14" t="s">
        <v>422</v>
      </c>
      <c r="B16" s="14" t="s">
        <v>357</v>
      </c>
      <c r="C16" s="14" t="s">
        <v>423</v>
      </c>
      <c r="D16" s="14" t="s">
        <v>424</v>
      </c>
    </row>
    <row r="17" customFormat="false" ht="15" hidden="false" customHeight="false" outlineLevel="0" collapsed="false">
      <c r="A17" s="14" t="s">
        <v>425</v>
      </c>
      <c r="B17" s="14" t="s">
        <v>357</v>
      </c>
      <c r="C17" s="14" t="s">
        <v>426</v>
      </c>
      <c r="D17" s="14" t="s">
        <v>397</v>
      </c>
    </row>
    <row r="18" customFormat="false" ht="15" hidden="false" customHeight="false" outlineLevel="0" collapsed="false">
      <c r="A18" s="14" t="s">
        <v>427</v>
      </c>
      <c r="B18" s="14" t="s">
        <v>277</v>
      </c>
      <c r="C18" s="14" t="s">
        <v>428</v>
      </c>
      <c r="D18" s="14" t="s">
        <v>429</v>
      </c>
    </row>
    <row r="19" customFormat="false" ht="15" hidden="false" customHeight="false" outlineLevel="0" collapsed="false">
      <c r="A19" s="14" t="s">
        <v>430</v>
      </c>
      <c r="B19" s="14" t="s">
        <v>277</v>
      </c>
      <c r="C19" s="14" t="s">
        <v>431</v>
      </c>
      <c r="D19" s="14" t="s">
        <v>432</v>
      </c>
    </row>
    <row r="20" customFormat="false" ht="15" hidden="false" customHeight="false" outlineLevel="0" collapsed="false">
      <c r="A20" s="14" t="s">
        <v>433</v>
      </c>
      <c r="B20" s="14" t="s">
        <v>277</v>
      </c>
      <c r="C20" s="14" t="s">
        <v>434</v>
      </c>
      <c r="D20" s="14" t="s">
        <v>435</v>
      </c>
    </row>
    <row r="21" customFormat="false" ht="15" hidden="false" customHeight="false" outlineLevel="0" collapsed="false">
      <c r="A21" s="14" t="s">
        <v>436</v>
      </c>
      <c r="B21" s="14" t="s">
        <v>277</v>
      </c>
      <c r="C21" s="14" t="s">
        <v>437</v>
      </c>
      <c r="D21" s="14" t="s">
        <v>438</v>
      </c>
    </row>
    <row r="22" customFormat="false" ht="15" hidden="false" customHeight="false" outlineLevel="0" collapsed="false">
      <c r="A22" s="14" t="s">
        <v>439</v>
      </c>
      <c r="B22" s="14" t="s">
        <v>277</v>
      </c>
      <c r="C22" s="14" t="s">
        <v>440</v>
      </c>
      <c r="D22" s="14" t="s">
        <v>281</v>
      </c>
    </row>
    <row r="23" customFormat="false" ht="15" hidden="false" customHeight="false" outlineLevel="0" collapsed="false">
      <c r="A23" s="14" t="s">
        <v>441</v>
      </c>
      <c r="B23" s="14" t="s">
        <v>277</v>
      </c>
      <c r="C23" s="14" t="s">
        <v>442</v>
      </c>
      <c r="D23" s="14" t="s">
        <v>443</v>
      </c>
    </row>
    <row r="24" customFormat="false" ht="15" hidden="false" customHeight="false" outlineLevel="0" collapsed="false">
      <c r="A24" s="14" t="s">
        <v>444</v>
      </c>
      <c r="B24" s="14" t="s">
        <v>277</v>
      </c>
      <c r="C24" s="14" t="s">
        <v>445</v>
      </c>
      <c r="D24" s="14" t="s">
        <v>446</v>
      </c>
    </row>
  </sheetData>
  <autoFilter ref="A4:D24"/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2026-10-18T18:30:47Z</dcterms:created>
  <dc:creator>openpyxl</dc:creator>
  <dc:description/>
  <dc:language>en-US</dc:language>
  <cp:lastModifiedBy/>
  <dcterms:modified xsi:type="dcterms:W3CDTF">2026-10-18T18:30:48Z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